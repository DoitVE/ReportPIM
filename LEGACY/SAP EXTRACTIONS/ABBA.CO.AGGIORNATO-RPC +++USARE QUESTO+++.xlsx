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1" documentId="8_{C7D66D73-A62E-43CE-8D55-BBD5A33FD839}" xr6:coauthVersionLast="47" xr6:coauthVersionMax="47" xr10:uidLastSave="{46CA8B7D-8130-414A-B613-5C63D0F5388B}"/>
  <bookViews>
    <workbookView xWindow="-120" yWindow="-120" windowWidth="29040" windowHeight="15720" xr2:uid="{00000000-000D-0000-FFFF-FFFF00000000}"/>
  </bookViews>
  <sheets>
    <sheet name="Milano-Venezia SL" sheetId="8" r:id="rId1"/>
    <sheet name="Bologna-Padova" sheetId="9" r:id="rId2"/>
    <sheet name="Mestre-Quarto" sheetId="14" r:id="rId3"/>
    <sheet name="Mestre-Treviso" sheetId="15" r:id="rId4"/>
    <sheet name="Cervignano-Monfalcone" sheetId="12" state="hidden" r:id="rId5"/>
    <sheet name="PM Vat-Tarvisio BV" sheetId="13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 a="1"/>
  <c r="F1" i="15" s="1"/>
  <c r="F1" i="14" a="1"/>
  <c r="F1" i="14" s="1"/>
  <c r="F1" i="9" a="1"/>
  <c r="F1" i="9" s="1"/>
  <c r="B5" i="8" l="1"/>
  <c r="B5" i="12" s="1"/>
  <c r="B5" i="15" l="1"/>
  <c r="B5" i="9"/>
  <c r="B5" i="13"/>
  <c r="B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SACCONI ANDREA</author>
  </authors>
  <commentList>
    <comment ref="O10" authorId="0" shapeId="0" xr:uid="{CD3370AD-D09E-4362-B819-5D89818ED444}">
      <text>
        <r>
          <rPr>
            <sz val="9"/>
            <color indexed="81"/>
            <rFont val="Tahoma"/>
            <family val="2"/>
          </rPr>
          <t>Chiavi da ripristinare a seguito interventi di correzione geometria DEV1 e DEV3 e risanamento/rinnovamento DEV5</t>
        </r>
      </text>
    </comment>
    <comment ref="O11" authorId="0" shapeId="0" xr:uid="{E278D3B4-BEBB-41AD-B387-E5DF1868D1E9}">
      <text>
        <r>
          <rPr>
            <sz val="9"/>
            <color indexed="81"/>
            <rFont val="Tahoma"/>
            <family val="2"/>
          </rPr>
          <t>Chiavi da ripristinare a seguito interventi di correzione geometria DEV1 e DEV3 e risanamento/rinnovamento DEV5</t>
        </r>
      </text>
    </comment>
    <comment ref="P12" authorId="0" shapeId="0" xr:uid="{59136074-1EE5-41FF-A1A2-EBFADDEC3B06}">
      <text>
        <r>
          <rPr>
            <sz val="9"/>
            <color indexed="81"/>
            <rFont val="Tahoma"/>
            <family val="2"/>
          </rPr>
          <t>Chiavi da ripristinare a seguito interventi di correzione geometria DEV1 e DEV3 e risanamento/rinnovamento DEV5</t>
        </r>
      </text>
    </comment>
    <comment ref="P13" authorId="0" shapeId="0" xr:uid="{F51CB040-7D70-4212-A47C-AC563A849CD1}">
      <text>
        <r>
          <rPr>
            <sz val="9"/>
            <color indexed="81"/>
            <rFont val="Tahoma"/>
            <family val="2"/>
          </rPr>
          <t>Chiavi da ripristinare a seguito interventi di correzione geometria DEV1 e DEV3 e risanamento/rinnovamento DEV5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tc={72218478-14DF-409C-B511-4286D58303D6}</author>
    <author>SACCONI ANDREA</author>
    <author>tc={80B9CCEC-FC77-411D-99A2-D8E0990BD082}</author>
  </authors>
  <commentList>
    <comment ref="F10" authorId="0" shapeId="0" xr:uid="{72218478-14DF-409C-B511-4286D58303D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Chiave 44s e 50s inserite in data 16.06.25 ore 08.30</t>
      </text>
    </comment>
    <comment ref="O10" authorId="1" shapeId="0" xr:uid="{53CE8664-771F-468E-A811-DF4D18BC820E}">
      <text>
        <r>
          <rPr>
            <sz val="9"/>
            <color indexed="81"/>
            <rFont val="Tahoma"/>
            <family val="2"/>
          </rPr>
          <t xml:space="preserve">Chiavi da ripristinare a seguito interventi livello ipotizzabile in concomitanza del livello per installazione RTB al KM 74+350 se non già eliminati in una delle notti di scorta di Polesella
</t>
        </r>
      </text>
    </comment>
    <comment ref="F11" authorId="2" shapeId="0" xr:uid="{80B9CCEC-FC77-411D-99A2-D8E0990BD08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Chiave 49s inserita in data 16.06.25 ore 08.30</t>
      </text>
    </comment>
    <comment ref="O11" authorId="1" shapeId="0" xr:uid="{5E32B44F-4365-4B67-A9B7-7B6CE2EA8DC6}">
      <text>
        <r>
          <rPr>
            <sz val="9"/>
            <color indexed="81"/>
            <rFont val="Tahoma"/>
            <family val="2"/>
          </rPr>
          <t xml:space="preserve">Chiavi da ripristinare a seguito interventi livello ipotizzabile in concomitanza del livello per installazione RTB al KM 74+350 se non già eliminati in una delle notti di scorta di Polesella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<sst xmlns="http://schemas.openxmlformats.org/spreadsheetml/2006/main" count="382" uniqueCount="125">
  <si>
    <t>Direzione Operativa Infrastratture Territoriale VE</t>
  </si>
  <si>
    <t>ABBATTIMENTO CODICI</t>
  </si>
  <si>
    <t>ULTIMO AGGIORNAMENTO :</t>
  </si>
  <si>
    <t>CEI</t>
  </si>
  <si>
    <t>Data:</t>
  </si>
  <si>
    <t>LINEA
Milano-Venezia</t>
  </si>
  <si>
    <t>Codice Tratta INRETE</t>
  </si>
  <si>
    <t>Tratta (descrizione)</t>
  </si>
  <si>
    <t>Binario (P/D/L)</t>
  </si>
  <si>
    <t>Inizio</t>
  </si>
  <si>
    <t>Fine</t>
  </si>
  <si>
    <t>chiave_RL</t>
  </si>
  <si>
    <t>rid_vel</t>
  </si>
  <si>
    <t>Motivo</t>
  </si>
  <si>
    <t>Titolare del rallentamento (matr.)</t>
  </si>
  <si>
    <t>Data inizio</t>
  </si>
  <si>
    <t>Ora inizio</t>
  </si>
  <si>
    <t>Avviso Avaria</t>
  </si>
  <si>
    <t>EA</t>
  </si>
  <si>
    <t xml:space="preserve">CODICE ABBATTIMENTO </t>
  </si>
  <si>
    <t>UM</t>
  </si>
  <si>
    <t>Pianificazione</t>
  </si>
  <si>
    <t>Data fine</t>
  </si>
  <si>
    <t>Ora fine</t>
  </si>
  <si>
    <t>TR0148-BC-BC01</t>
  </si>
  <si>
    <t>AV/AC</t>
  </si>
  <si>
    <t>D</t>
  </si>
  <si>
    <t>254+900</t>
  </si>
  <si>
    <t>11d</t>
  </si>
  <si>
    <t>115 Km/h</t>
  </si>
  <si>
    <t>riflusso argilloso</t>
  </si>
  <si>
    <t>LVU1</t>
  </si>
  <si>
    <t> </t>
  </si>
  <si>
    <t>LO3002-BC-BC23</t>
  </si>
  <si>
    <t>RI 191 (PPT Mestre)</t>
  </si>
  <si>
    <t>LO3002-BC-BC24</t>
  </si>
  <si>
    <t>P</t>
  </si>
  <si>
    <t>255+600</t>
  </si>
  <si>
    <t>RI 192 - RI 132 (PPT Mestre)</t>
  </si>
  <si>
    <t>riflusso argilloso dev 304b</t>
  </si>
  <si>
    <t>Volpe</t>
  </si>
  <si>
    <t>LINEA
Bologna-Padova</t>
  </si>
  <si>
    <t>rid_vel (km/h)</t>
  </si>
  <si>
    <t>LO2445</t>
  </si>
  <si>
    <t>ROVIGO</t>
  </si>
  <si>
    <t>76+874</t>
  </si>
  <si>
    <t>79+657</t>
  </si>
  <si>
    <t>48S-46S</t>
  </si>
  <si>
    <t>115 km/h</t>
  </si>
  <si>
    <t>DIFETTO S.I.</t>
  </si>
  <si>
    <t>LVU2</t>
  </si>
  <si>
    <t>77+170</t>
  </si>
  <si>
    <t>80+419</t>
  </si>
  <si>
    <t>43s-45S-47S</t>
  </si>
  <si>
    <t>LO2001</t>
  </si>
  <si>
    <t>ST. PD CAMPO MARTE</t>
  </si>
  <si>
    <t>P (marciaSX)</t>
  </si>
  <si>
    <t>120+870</t>
  </si>
  <si>
    <t>116+950</t>
  </si>
  <si>
    <t>50s - 48s</t>
  </si>
  <si>
    <t>ALDEBARAN</t>
  </si>
  <si>
    <t>08:00</t>
  </si>
  <si>
    <t>P (marciaDX)</t>
  </si>
  <si>
    <t>117+620</t>
  </si>
  <si>
    <t>118+300</t>
  </si>
  <si>
    <t>48d</t>
  </si>
  <si>
    <t>TR4084</t>
  </si>
  <si>
    <t>S.ELENA - STANGHELLA</t>
  </si>
  <si>
    <t>86+000</t>
  </si>
  <si>
    <t>89+407</t>
  </si>
  <si>
    <t>8S - 10S</t>
  </si>
  <si>
    <t>89+467</t>
  </si>
  <si>
    <t>86+700</t>
  </si>
  <si>
    <t>8D - 10D</t>
  </si>
  <si>
    <t>TR4079</t>
  </si>
  <si>
    <t>PD CM - ABANO TERME</t>
  </si>
  <si>
    <t>D (marciaSX)</t>
  </si>
  <si>
    <t>113+902</t>
  </si>
  <si>
    <t>112+500</t>
  </si>
  <si>
    <t>41S</t>
  </si>
  <si>
    <t>TR4081</t>
  </si>
  <si>
    <t>TERME E. - BATTAGLIA T.</t>
  </si>
  <si>
    <t>111+000</t>
  </si>
  <si>
    <t>108+350</t>
  </si>
  <si>
    <t>37S - 35S</t>
  </si>
  <si>
    <t>D (marciaDX)</t>
  </si>
  <si>
    <t>109+000</t>
  </si>
  <si>
    <t>37D</t>
  </si>
  <si>
    <t>TR4083</t>
  </si>
  <si>
    <t>MONSELICE-S.ELENA</t>
  </si>
  <si>
    <t>98+500</t>
  </si>
  <si>
    <t>101+000</t>
  </si>
  <si>
    <t>23S - 21S</t>
  </si>
  <si>
    <t>99+000</t>
  </si>
  <si>
    <t>23D</t>
  </si>
  <si>
    <t>95+300</t>
  </si>
  <si>
    <t>94+000</t>
  </si>
  <si>
    <t>17S - 15S</t>
  </si>
  <si>
    <t>93+500</t>
  </si>
  <si>
    <t>94+750</t>
  </si>
  <si>
    <t>17D</t>
  </si>
  <si>
    <t>TR4085</t>
  </si>
  <si>
    <t>STANGHELLA-ROVIGO</t>
  </si>
  <si>
    <t>80+370</t>
  </si>
  <si>
    <t>81+420</t>
  </si>
  <si>
    <t>49d</t>
  </si>
  <si>
    <t>81+890</t>
  </si>
  <si>
    <t>80+420</t>
  </si>
  <si>
    <t>49S</t>
  </si>
  <si>
    <t xml:space="preserve"> </t>
  </si>
  <si>
    <t>MELARATO</t>
  </si>
  <si>
    <t>LINEA
Ve.Mestre - Quarto d'A.</t>
  </si>
  <si>
    <t>LINEA
Ve.Mestre - Treviso</t>
  </si>
  <si>
    <t>LO8716</t>
  </si>
  <si>
    <t>VE. MESTRE- B. MAROCCO</t>
  </si>
  <si>
    <t>6+000</t>
  </si>
  <si>
    <t>6+345</t>
  </si>
  <si>
    <t>2Os - 22s</t>
  </si>
  <si>
    <t>Intersezione B. Marocco</t>
  </si>
  <si>
    <t>3+842</t>
  </si>
  <si>
    <t>5+320</t>
  </si>
  <si>
    <t>18d - 22d</t>
  </si>
  <si>
    <t>Direzione Operativa Instratture Territoriale TS</t>
  </si>
  <si>
    <t>LINEA
Cervignano AG - Monfalcone</t>
  </si>
  <si>
    <t>LINEA
PM Vat - Tarvisio 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</si>
</sst>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0]d\-mmm\-yy;@"/>
    <numFmt numFmtId="165" formatCode="h:mm;@"/>
    <numFmt numFmtId="166" formatCode="[$-F400]h:mm:ss\ AM/PM"/>
  </numFmts>
  <fonts count="23" x14ac:knownFonts="1">
    <font>
      <sz val="10"/>
      <name val="Arial"/>
    </font>
    <font>
      <sz val="8"/>
      <name val="Arial"/>
      <family val="2"/>
    </font>
    <font>
      <i/>
      <sz val="9"/>
      <name val="Arial"/>
      <family val="2"/>
    </font>
    <font>
      <i/>
      <sz val="11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Tahoma"/>
      <family val="2"/>
    </font>
    <font>
      <b/>
      <sz val="8"/>
      <color rgb="FF000000"/>
      <name val="Arial"/>
      <family val="2"/>
    </font>
    <font>
      <sz val="9"/>
      <color indexed="81"/>
      <name val="Tahoma"/>
      <family val="2"/>
    </font>
    <font>
      <b/>
      <i/>
      <sz val="11"/>
      <name val="Arial"/>
      <family val="2"/>
    </font>
    <font>
      <sz val="12"/>
      <name val="Arial"/>
      <family val="2"/>
    </font>
    <font>
      <sz val="12"/>
      <name val="Arial"/>
      <family val="2"/>
      <charset val="1"/>
    </font>
    <font>
      <sz val="8"/>
      <color rgb="FF000000"/>
      <name val="Arial"/>
      <family val="2"/>
    </font>
    <font>
      <b/>
      <sz val="9"/>
      <name val="Tahoma"/>
      <family val="2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5" fillId="0" borderId="0" xfId="0" applyFont="1"/>
    <xf numFmtId="164" fontId="3" fillId="7" borderId="2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9" fillId="5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12" fillId="6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0" borderId="6" xfId="0" applyFont="1" applyBorder="1" applyAlignment="1">
      <alignment wrapText="1"/>
    </xf>
    <xf numFmtId="15" fontId="1" fillId="0" borderId="6" xfId="0" applyNumberFormat="1" applyFont="1" applyBorder="1"/>
    <xf numFmtId="15" fontId="1" fillId="5" borderId="6" xfId="0" applyNumberFormat="1" applyFont="1" applyFill="1" applyBorder="1"/>
    <xf numFmtId="15" fontId="1" fillId="5" borderId="5" xfId="0" applyNumberFormat="1" applyFont="1" applyFill="1" applyBorder="1"/>
    <xf numFmtId="0" fontId="1" fillId="5" borderId="5" xfId="0" applyFont="1" applyFill="1" applyBorder="1" applyAlignment="1">
      <alignment wrapText="1"/>
    </xf>
    <xf numFmtId="20" fontId="1" fillId="5" borderId="5" xfId="0" applyNumberFormat="1" applyFont="1" applyFill="1" applyBorder="1"/>
    <xf numFmtId="0" fontId="5" fillId="0" borderId="10" xfId="0" applyFont="1" applyBorder="1" applyAlignment="1">
      <alignment horizontal="center" vertical="center"/>
    </xf>
    <xf numFmtId="0" fontId="1" fillId="5" borderId="7" xfId="0" applyFont="1" applyFill="1" applyBorder="1"/>
    <xf numFmtId="14" fontId="15" fillId="0" borderId="10" xfId="0" applyNumberFormat="1" applyFont="1" applyBorder="1" applyAlignment="1">
      <alignment horizontal="center" vertical="center" wrapText="1"/>
    </xf>
    <xf numFmtId="0" fontId="1" fillId="5" borderId="2" xfId="0" applyFont="1" applyFill="1" applyBorder="1"/>
    <xf numFmtId="0" fontId="6" fillId="0" borderId="0" xfId="0" applyFont="1" applyAlignment="1">
      <alignment horizont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165" fontId="10" fillId="3" borderId="12" xfId="0" applyNumberFormat="1" applyFont="1" applyFill="1" applyBorder="1" applyAlignment="1">
      <alignment horizontal="center" vertical="center"/>
    </xf>
    <xf numFmtId="0" fontId="19" fillId="0" borderId="4" xfId="0" applyFont="1" applyBorder="1"/>
    <xf numFmtId="15" fontId="12" fillId="6" borderId="4" xfId="0" applyNumberFormat="1" applyFont="1" applyFill="1" applyBorder="1"/>
    <xf numFmtId="20" fontId="12" fillId="6" borderId="4" xfId="0" applyNumberFormat="1" applyFont="1" applyFill="1" applyBorder="1"/>
    <xf numFmtId="0" fontId="18" fillId="0" borderId="3" xfId="0" applyFont="1" applyBorder="1"/>
    <xf numFmtId="0" fontId="1" fillId="0" borderId="5" xfId="0" applyFont="1" applyBorder="1"/>
    <xf numFmtId="14" fontId="1" fillId="5" borderId="5" xfId="0" applyNumberFormat="1" applyFont="1" applyFill="1" applyBorder="1"/>
    <xf numFmtId="0" fontId="1" fillId="5" borderId="6" xfId="0" applyFont="1" applyFill="1" applyBorder="1" applyAlignment="1">
      <alignment wrapText="1"/>
    </xf>
    <xf numFmtId="20" fontId="1" fillId="5" borderId="6" xfId="0" applyNumberFormat="1" applyFont="1" applyFill="1" applyBorder="1"/>
    <xf numFmtId="15" fontId="5" fillId="5" borderId="7" xfId="0" applyNumberFormat="1" applyFont="1" applyFill="1" applyBorder="1"/>
    <xf numFmtId="20" fontId="5" fillId="5" borderId="6" xfId="0" applyNumberFormat="1" applyFont="1" applyFill="1" applyBorder="1"/>
    <xf numFmtId="0" fontId="13" fillId="5" borderId="13" xfId="0" applyFont="1" applyFill="1" applyBorder="1"/>
    <xf numFmtId="15" fontId="1" fillId="0" borderId="5" xfId="0" applyNumberFormat="1" applyFont="1" applyBorder="1"/>
    <xf numFmtId="164" fontId="1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3" fillId="5" borderId="8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5" borderId="4" xfId="0" applyFont="1" applyFill="1" applyBorder="1" applyAlignment="1">
      <alignment horizontal="left"/>
    </xf>
    <xf numFmtId="0" fontId="13" fillId="0" borderId="4" xfId="0" applyFont="1" applyBorder="1" applyAlignment="1">
      <alignment horizontal="left"/>
    </xf>
    <xf numFmtId="20" fontId="1" fillId="0" borderId="6" xfId="0" applyNumberFormat="1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15" fontId="13" fillId="0" borderId="8" xfId="0" applyNumberFormat="1" applyFont="1" applyBorder="1" applyAlignment="1">
      <alignment horizontal="left"/>
    </xf>
    <xf numFmtId="20" fontId="13" fillId="0" borderId="8" xfId="0" applyNumberFormat="1" applyFont="1" applyBorder="1" applyAlignment="1">
      <alignment horizontal="left"/>
    </xf>
    <xf numFmtId="15" fontId="13" fillId="0" borderId="4" xfId="0" applyNumberFormat="1" applyFont="1" applyBorder="1" applyAlignment="1">
      <alignment horizontal="left"/>
    </xf>
    <xf numFmtId="20" fontId="13" fillId="0" borderId="4" xfId="0" applyNumberFormat="1" applyFont="1" applyBorder="1" applyAlignment="1">
      <alignment horizontal="left"/>
    </xf>
    <xf numFmtId="0" fontId="1" fillId="5" borderId="15" xfId="0" applyFont="1" applyFill="1" applyBorder="1"/>
    <xf numFmtId="0" fontId="1" fillId="5" borderId="16" xfId="0" applyFont="1" applyFill="1" applyBorder="1"/>
    <xf numFmtId="0" fontId="1" fillId="0" borderId="16" xfId="0" applyFont="1" applyBorder="1"/>
    <xf numFmtId="0" fontId="1" fillId="0" borderId="16" xfId="0" applyFont="1" applyBorder="1" applyAlignment="1">
      <alignment wrapText="1"/>
    </xf>
    <xf numFmtId="15" fontId="1" fillId="0" borderId="16" xfId="0" applyNumberFormat="1" applyFont="1" applyBorder="1"/>
    <xf numFmtId="20" fontId="1" fillId="0" borderId="16" xfId="0" applyNumberFormat="1" applyFont="1" applyBorder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7" xfId="0" applyFont="1" applyBorder="1"/>
    <xf numFmtId="0" fontId="8" fillId="0" borderId="5" xfId="0" applyFont="1" applyBorder="1"/>
    <xf numFmtId="0" fontId="8" fillId="5" borderId="5" xfId="0" applyFont="1" applyFill="1" applyBorder="1"/>
    <xf numFmtId="0" fontId="1" fillId="0" borderId="17" xfId="0" applyFont="1" applyBorder="1" applyAlignment="1">
      <alignment wrapText="1"/>
    </xf>
    <xf numFmtId="14" fontId="1" fillId="0" borderId="17" xfId="0" applyNumberFormat="1" applyFont="1" applyBorder="1"/>
    <xf numFmtId="20" fontId="1" fillId="0" borderId="17" xfId="0" applyNumberFormat="1" applyFont="1" applyBorder="1"/>
    <xf numFmtId="0" fontId="13" fillId="0" borderId="8" xfId="0" applyFont="1" applyBorder="1"/>
    <xf numFmtId="0" fontId="12" fillId="5" borderId="18" xfId="0" applyFont="1" applyFill="1" applyBorder="1"/>
    <xf numFmtId="0" fontId="8" fillId="5" borderId="6" xfId="0" applyFont="1" applyFill="1" applyBorder="1"/>
    <xf numFmtId="0" fontId="8" fillId="0" borderId="6" xfId="0" applyFont="1" applyBorder="1"/>
    <xf numFmtId="14" fontId="13" fillId="0" borderId="4" xfId="0" applyNumberFormat="1" applyFont="1" applyBorder="1"/>
    <xf numFmtId="166" fontId="13" fillId="5" borderId="4" xfId="0" applyNumberFormat="1" applyFont="1" applyFill="1" applyBorder="1"/>
    <xf numFmtId="166" fontId="8" fillId="4" borderId="2" xfId="0" applyNumberFormat="1" applyFont="1" applyFill="1" applyBorder="1" applyAlignment="1">
      <alignment horizontal="center" vertical="center"/>
    </xf>
    <xf numFmtId="14" fontId="1" fillId="5" borderId="6" xfId="0" applyNumberFormat="1" applyFont="1" applyFill="1" applyBorder="1"/>
    <xf numFmtId="14" fontId="1" fillId="0" borderId="0" xfId="0" applyNumberFormat="1" applyFont="1" applyAlignment="1">
      <alignment horizontal="center"/>
    </xf>
    <xf numFmtId="0" fontId="13" fillId="5" borderId="19" xfId="0" applyFont="1" applyFill="1" applyBorder="1"/>
    <xf numFmtId="0" fontId="1" fillId="0" borderId="5" xfId="0" applyFont="1" applyBorder="1" applyAlignment="1">
      <alignment wrapText="1"/>
    </xf>
    <xf numFmtId="0" fontId="13" fillId="5" borderId="18" xfId="0" applyFont="1" applyFill="1" applyBorder="1"/>
    <xf numFmtId="0" fontId="1" fillId="0" borderId="6" xfId="0" applyFont="1" applyBorder="1"/>
    <xf numFmtId="0" fontId="13" fillId="5" borderId="1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15" fontId="1" fillId="0" borderId="5" xfId="0" applyNumberFormat="1" applyFont="1" applyBorder="1" applyAlignment="1">
      <alignment horizontal="left"/>
    </xf>
    <xf numFmtId="15" fontId="1" fillId="0" borderId="6" xfId="0" applyNumberFormat="1" applyFont="1" applyBorder="1" applyAlignment="1">
      <alignment horizontal="left"/>
    </xf>
    <xf numFmtId="20" fontId="13" fillId="5" borderId="18" xfId="0" applyNumberFormat="1" applyFont="1" applyFill="1" applyBorder="1" applyAlignment="1">
      <alignment horizontal="left"/>
    </xf>
    <xf numFmtId="0" fontId="21" fillId="2" borderId="12" xfId="0" applyFont="1" applyFill="1" applyBorder="1" applyAlignment="1">
      <alignment horizontal="center" vertical="center" wrapText="1"/>
    </xf>
    <xf numFmtId="0" fontId="22" fillId="5" borderId="7" xfId="0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17" fillId="8" borderId="0" xfId="0" applyNumberFormat="1" applyFont="1" applyFill="1" applyAlignment="1">
      <alignment horizontal="center" vertical="center"/>
    </xf>
    <xf numFmtId="164" fontId="17" fillId="8" borderId="1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CCHIATO GIACOMO" id="{2E990A45-F2F0-493E-907F-63157084BD38}" userId="S::945854@rfi.it::c93cd6b2-8a94-4bde-a207-5539d0b2ea4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5-06-16T09:54:11.96" personId="{2E990A45-F2F0-493E-907F-63157084BD38}" id="{72218478-14DF-409C-B511-4286D58303D6}">
    <text>Chiave 44s e 50s inserite in data 16.06.25 ore 08.30</text>
  </threadedComment>
  <threadedComment ref="F11" dT="2025-06-16T09:54:53.90" personId="{2E990A45-F2F0-493E-907F-63157084BD38}" id="{80B9CCEC-FC77-411D-99A2-D8E0990BD082}">
    <text>Chiave 49s inserita in data 16.06.25 ore 08.30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R26"/>
  <sheetViews>
    <sheetView tabSelected="1" zoomScaleNormal="100" workbookViewId="0">
      <selection activeCell="P33" sqref="P33"/>
    </sheetView>
  </sheetViews>
  <sheetFormatPr defaultRowHeight="12.75" x14ac:dyDescent="0.2"/>
  <cols>
    <col min="1" max="1" width="22" customWidth="1"/>
    <col min="2" max="2" width="20.85546875" bestFit="1" customWidth="1"/>
    <col min="3" max="3" width="15.5703125" bestFit="1" customWidth="1"/>
    <col min="4" max="4" width="10.85546875" bestFit="1" customWidth="1"/>
    <col min="6" max="6" width="30.85546875" bestFit="1" customWidth="1"/>
    <col min="7" max="7" width="11.5703125" bestFit="1" customWidth="1"/>
    <col min="8" max="8" width="28.28515625" bestFit="1" customWidth="1"/>
    <col min="9" max="9" width="11.42578125" bestFit="1" customWidth="1"/>
    <col min="10" max="10" width="10.7109375" bestFit="1" customWidth="1"/>
    <col min="14" max="14" width="15.5703125" bestFit="1" customWidth="1"/>
    <col min="15" max="15" width="12.85546875" customWidth="1"/>
    <col min="16" max="16" width="13.42578125" customWidth="1"/>
    <col min="18" max="18" width="8.7109375" customWidth="1"/>
  </cols>
  <sheetData>
    <row r="1" spans="1:18" ht="18" x14ac:dyDescent="0.2">
      <c r="A1" s="1"/>
      <c r="B1" s="1"/>
      <c r="C1" s="1"/>
      <c r="D1" s="1"/>
      <c r="E1" s="1"/>
      <c r="F1" s="112" t="s">
        <v>0</v>
      </c>
      <c r="G1" s="112"/>
      <c r="H1" s="112"/>
      <c r="I1" s="112"/>
      <c r="J1" s="1"/>
      <c r="K1" s="1"/>
      <c r="L1" s="1"/>
      <c r="M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  <c r="Q2" s="1"/>
      <c r="R2" s="1"/>
    </row>
    <row r="3" spans="1:18" ht="18" x14ac:dyDescent="0.25">
      <c r="D3" s="1"/>
      <c r="E3" s="3"/>
      <c r="F3" s="113" t="s">
        <v>1</v>
      </c>
      <c r="G3" s="113"/>
      <c r="H3" s="113"/>
      <c r="I3" s="113"/>
      <c r="J3" s="114" t="s">
        <v>2</v>
      </c>
      <c r="K3" s="114"/>
      <c r="L3" s="114"/>
      <c r="M3" s="1"/>
      <c r="N3" s="41" t="s">
        <v>3</v>
      </c>
      <c r="O3" s="115">
        <v>46120</v>
      </c>
      <c r="P3" s="116"/>
      <c r="Q3" s="1"/>
      <c r="R3" s="1"/>
    </row>
    <row r="4" spans="1:1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  <c r="Q4" s="1"/>
      <c r="R4" s="1"/>
    </row>
    <row r="5" spans="1:18" ht="18" x14ac:dyDescent="0.25">
      <c r="A5" s="2" t="s">
        <v>4</v>
      </c>
      <c r="B5" s="7">
        <f ca="1">TODAY()</f>
        <v>46244</v>
      </c>
      <c r="C5" s="8"/>
      <c r="D5" s="8"/>
      <c r="E5" s="8"/>
      <c r="F5" s="8"/>
      <c r="G5" s="6"/>
      <c r="H5" s="5"/>
      <c r="I5" s="1"/>
      <c r="J5" s="1"/>
      <c r="K5" s="1"/>
      <c r="L5" s="1"/>
      <c r="M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  <c r="Q6" s="1"/>
      <c r="R6" s="1"/>
    </row>
    <row r="7" spans="1:18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  <c r="Q7" s="1"/>
      <c r="R7" s="1"/>
    </row>
    <row r="8" spans="1:18" ht="26.25" thickBot="1" x14ac:dyDescent="0.25">
      <c r="A8" s="19" t="s">
        <v>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9"/>
      <c r="O8" s="9"/>
      <c r="P8" s="20"/>
      <c r="Q8" s="20"/>
      <c r="R8" s="20"/>
    </row>
    <row r="9" spans="1:18" ht="33.75" x14ac:dyDescent="0.2">
      <c r="A9" s="42" t="s">
        <v>6</v>
      </c>
      <c r="B9" s="43" t="s">
        <v>7</v>
      </c>
      <c r="C9" s="42" t="s">
        <v>8</v>
      </c>
      <c r="D9" s="43" t="s">
        <v>9</v>
      </c>
      <c r="E9" s="43" t="s">
        <v>10</v>
      </c>
      <c r="F9" s="42" t="s">
        <v>11</v>
      </c>
      <c r="G9" s="42" t="s">
        <v>12</v>
      </c>
      <c r="H9" s="43" t="s">
        <v>13</v>
      </c>
      <c r="I9" s="110" t="s">
        <v>14</v>
      </c>
      <c r="J9" s="43" t="s">
        <v>15</v>
      </c>
      <c r="K9" s="43" t="s">
        <v>16</v>
      </c>
      <c r="L9" s="42" t="s">
        <v>17</v>
      </c>
      <c r="M9" s="44" t="s">
        <v>18</v>
      </c>
      <c r="N9" s="44" t="s">
        <v>19</v>
      </c>
      <c r="O9" s="45" t="s">
        <v>20</v>
      </c>
      <c r="P9" s="46" t="s">
        <v>21</v>
      </c>
      <c r="Q9" s="45" t="s">
        <v>22</v>
      </c>
      <c r="R9" s="47" t="s">
        <v>23</v>
      </c>
    </row>
    <row r="10" spans="1:18" x14ac:dyDescent="0.2">
      <c r="A10" s="83" t="s">
        <v>24</v>
      </c>
      <c r="B10" s="84" t="s">
        <v>25</v>
      </c>
      <c r="C10" s="85" t="s">
        <v>26</v>
      </c>
      <c r="D10" s="86" t="s">
        <v>27</v>
      </c>
      <c r="E10" s="86" t="s">
        <v>27</v>
      </c>
      <c r="F10" s="86" t="s">
        <v>28</v>
      </c>
      <c r="G10" s="87" t="s">
        <v>29</v>
      </c>
      <c r="H10" s="87" t="s">
        <v>30</v>
      </c>
      <c r="I10" s="87" t="s">
        <v>31</v>
      </c>
      <c r="J10" s="88">
        <v>46041</v>
      </c>
      <c r="K10" s="89">
        <v>0.58333333333333337</v>
      </c>
      <c r="L10" s="29" t="s">
        <v>32</v>
      </c>
      <c r="M10" s="29" t="s">
        <v>32</v>
      </c>
      <c r="N10" s="29" t="s">
        <v>32</v>
      </c>
      <c r="O10" s="35" t="s">
        <v>31</v>
      </c>
      <c r="P10" s="60"/>
      <c r="Q10" s="10"/>
      <c r="R10" s="10"/>
    </row>
    <row r="11" spans="1:18" x14ac:dyDescent="0.2">
      <c r="A11" s="90" t="s">
        <v>33</v>
      </c>
      <c r="B11" s="91" t="s">
        <v>25</v>
      </c>
      <c r="C11" s="91" t="s">
        <v>26</v>
      </c>
      <c r="D11" s="92" t="s">
        <v>27</v>
      </c>
      <c r="E11" s="92" t="s">
        <v>27</v>
      </c>
      <c r="F11" s="91" t="s">
        <v>34</v>
      </c>
      <c r="G11" s="87" t="s">
        <v>29</v>
      </c>
      <c r="H11" s="87" t="s">
        <v>30</v>
      </c>
      <c r="I11" s="87" t="s">
        <v>31</v>
      </c>
      <c r="J11" s="88">
        <v>46041</v>
      </c>
      <c r="K11" s="89">
        <v>0.58333333333333337</v>
      </c>
      <c r="L11" s="30" t="s">
        <v>32</v>
      </c>
      <c r="M11" s="30" t="s">
        <v>32</v>
      </c>
      <c r="N11" s="30" t="s">
        <v>32</v>
      </c>
      <c r="O11" s="54" t="s">
        <v>31</v>
      </c>
      <c r="P11" s="60"/>
      <c r="Q11" s="10"/>
      <c r="R11" s="10"/>
    </row>
    <row r="12" spans="1:18" x14ac:dyDescent="0.2">
      <c r="A12" s="111" t="s">
        <v>35</v>
      </c>
      <c r="B12" s="92" t="s">
        <v>25</v>
      </c>
      <c r="C12" s="93" t="s">
        <v>36</v>
      </c>
      <c r="D12" s="92" t="s">
        <v>37</v>
      </c>
      <c r="E12" s="92" t="s">
        <v>37</v>
      </c>
      <c r="F12" s="92" t="s">
        <v>38</v>
      </c>
      <c r="G12" s="93" t="s">
        <v>29</v>
      </c>
      <c r="H12" s="87" t="s">
        <v>39</v>
      </c>
      <c r="I12" s="87" t="s">
        <v>31</v>
      </c>
      <c r="J12" s="88">
        <v>46041</v>
      </c>
      <c r="K12" s="89">
        <v>0.58333333333333337</v>
      </c>
      <c r="L12" s="30" t="s">
        <v>32</v>
      </c>
      <c r="M12" s="30" t="s">
        <v>32</v>
      </c>
      <c r="N12" s="30" t="s">
        <v>32</v>
      </c>
      <c r="O12" s="54" t="s">
        <v>31</v>
      </c>
      <c r="P12" s="32"/>
      <c r="Q12" s="10"/>
      <c r="R12" s="10"/>
    </row>
    <row r="13" spans="1:18" x14ac:dyDescent="0.2">
      <c r="A13" s="72"/>
      <c r="B13" s="73"/>
      <c r="C13" s="74"/>
      <c r="D13" s="73"/>
      <c r="E13" s="73"/>
      <c r="F13" s="73"/>
      <c r="G13" s="74"/>
      <c r="H13" s="74"/>
      <c r="I13" s="75"/>
      <c r="J13" s="76"/>
      <c r="K13" s="77"/>
      <c r="L13" s="74"/>
      <c r="M13" s="74"/>
      <c r="N13" s="74"/>
      <c r="O13" s="75"/>
      <c r="P13" s="32"/>
      <c r="Q13" s="10"/>
      <c r="R13" s="10"/>
    </row>
    <row r="14" spans="1:18" x14ac:dyDescent="0.2">
      <c r="A14" s="40"/>
      <c r="B14" s="29"/>
      <c r="C14" s="29"/>
      <c r="D14" s="29"/>
      <c r="E14" s="29"/>
      <c r="F14" s="29"/>
      <c r="G14" s="29"/>
      <c r="H14" s="35"/>
      <c r="I14" s="35"/>
      <c r="J14" s="34"/>
      <c r="K14" s="36"/>
      <c r="L14" s="29"/>
      <c r="M14" s="29"/>
      <c r="N14" s="29"/>
      <c r="O14" s="35"/>
      <c r="P14" s="59"/>
      <c r="Q14" s="10"/>
      <c r="R14" s="27"/>
    </row>
    <row r="15" spans="1:18" x14ac:dyDescent="0.2">
      <c r="A15" s="38"/>
      <c r="B15" s="30"/>
      <c r="C15" s="30"/>
      <c r="D15" s="30"/>
      <c r="E15" s="30"/>
      <c r="F15" s="30"/>
      <c r="G15" s="30"/>
      <c r="H15" s="54"/>
      <c r="I15" s="54"/>
      <c r="J15" s="33"/>
      <c r="K15" s="55"/>
      <c r="L15" s="30"/>
      <c r="M15" s="30"/>
      <c r="N15" s="30"/>
      <c r="O15" s="54"/>
      <c r="P15" s="32"/>
      <c r="Q15" s="10"/>
      <c r="R15" s="27"/>
    </row>
    <row r="16" spans="1:18" x14ac:dyDescent="0.2">
      <c r="A16" s="11"/>
      <c r="B16" s="12"/>
      <c r="C16" s="13"/>
      <c r="D16" s="14"/>
      <c r="E16" s="14"/>
      <c r="F16" s="15"/>
      <c r="G16" s="16"/>
      <c r="H16" s="17"/>
      <c r="I16" s="18"/>
      <c r="J16" s="13"/>
      <c r="K16" s="16"/>
      <c r="L16" s="13"/>
      <c r="M16" s="13"/>
      <c r="N16" s="13"/>
      <c r="O16" s="18"/>
      <c r="P16" s="13"/>
      <c r="Q16" s="14"/>
      <c r="R16" s="27"/>
    </row>
    <row r="17" spans="1:18" x14ac:dyDescent="0.2">
      <c r="A17" s="11"/>
      <c r="B17" s="12"/>
      <c r="C17" s="13"/>
      <c r="D17" s="14"/>
      <c r="E17" s="14"/>
      <c r="F17" s="15"/>
      <c r="G17" s="16"/>
      <c r="H17" s="17"/>
      <c r="I17" s="18"/>
      <c r="J17" s="13"/>
      <c r="K17" s="16"/>
      <c r="L17" s="13"/>
      <c r="M17" s="13"/>
      <c r="N17" s="13"/>
      <c r="O17" s="18"/>
      <c r="P17" s="13"/>
      <c r="Q17" s="14"/>
      <c r="R17" s="27"/>
    </row>
    <row r="18" spans="1:18" x14ac:dyDescent="0.2">
      <c r="A18" s="11"/>
      <c r="B18" s="12"/>
      <c r="C18" s="13"/>
      <c r="D18" s="14"/>
      <c r="E18" s="14"/>
      <c r="F18" s="15"/>
      <c r="G18" s="16"/>
      <c r="H18" s="17"/>
      <c r="I18" s="18"/>
      <c r="J18" s="13"/>
      <c r="K18" s="16"/>
      <c r="L18" s="13"/>
      <c r="M18" s="13"/>
      <c r="N18" s="13"/>
      <c r="O18" s="18"/>
      <c r="P18" s="13"/>
      <c r="Q18" s="14"/>
      <c r="R18" s="27"/>
    </row>
    <row r="19" spans="1:18" x14ac:dyDescent="0.2">
      <c r="A19" s="11"/>
      <c r="B19" s="12"/>
      <c r="C19" s="13"/>
      <c r="D19" s="14"/>
      <c r="E19" s="14"/>
      <c r="F19" s="15"/>
      <c r="G19" s="16"/>
      <c r="H19" s="17"/>
      <c r="I19" s="18"/>
      <c r="J19" s="13"/>
      <c r="K19" s="16"/>
      <c r="L19" s="13"/>
      <c r="M19" s="13"/>
      <c r="N19" s="13"/>
      <c r="O19" s="18"/>
      <c r="P19" s="13"/>
      <c r="Q19" s="14"/>
      <c r="R19" s="27"/>
    </row>
    <row r="20" spans="1:18" x14ac:dyDescent="0.2">
      <c r="A20" s="11"/>
      <c r="B20" s="12"/>
      <c r="C20" s="13"/>
      <c r="D20" s="14"/>
      <c r="E20" s="14"/>
      <c r="F20" s="15"/>
      <c r="G20" s="16"/>
      <c r="H20" s="17"/>
      <c r="I20" s="18"/>
      <c r="J20" s="13"/>
      <c r="K20" s="16"/>
      <c r="L20" s="13"/>
      <c r="M20" s="13"/>
      <c r="N20" s="13"/>
      <c r="O20" s="18"/>
      <c r="P20" s="13"/>
      <c r="Q20" s="14"/>
      <c r="R20" s="27"/>
    </row>
    <row r="21" spans="1:18" x14ac:dyDescent="0.2">
      <c r="A21" s="11"/>
      <c r="B21" s="12"/>
      <c r="C21" s="13"/>
      <c r="D21" s="14"/>
      <c r="E21" s="14"/>
      <c r="F21" s="15"/>
      <c r="G21" s="16"/>
      <c r="H21" s="17"/>
      <c r="I21" s="18"/>
      <c r="J21" s="13"/>
      <c r="K21" s="16"/>
      <c r="L21" s="13"/>
      <c r="M21" s="13"/>
      <c r="N21" s="13"/>
      <c r="O21" s="18"/>
      <c r="P21" s="13"/>
      <c r="Q21" s="14"/>
      <c r="R21" s="27"/>
    </row>
    <row r="22" spans="1:18" x14ac:dyDescent="0.2">
      <c r="A22" s="11"/>
      <c r="B22" s="12"/>
      <c r="C22" s="13"/>
      <c r="D22" s="14"/>
      <c r="E22" s="14"/>
      <c r="F22" s="15"/>
      <c r="G22" s="16"/>
      <c r="H22" s="17"/>
      <c r="I22" s="18"/>
      <c r="J22" s="13"/>
      <c r="K22" s="16"/>
      <c r="L22" s="13"/>
      <c r="M22" s="13"/>
      <c r="N22" s="13"/>
      <c r="O22" s="18"/>
      <c r="P22" s="13"/>
      <c r="Q22" s="14"/>
      <c r="R22" s="27"/>
    </row>
    <row r="23" spans="1:18" x14ac:dyDescent="0.2">
      <c r="A23" s="11"/>
      <c r="B23" s="12"/>
      <c r="C23" s="13"/>
      <c r="D23" s="14"/>
      <c r="E23" s="14"/>
      <c r="F23" s="15"/>
      <c r="G23" s="16"/>
      <c r="H23" s="17"/>
      <c r="I23" s="18"/>
      <c r="J23" s="13"/>
      <c r="K23" s="16"/>
      <c r="L23" s="13"/>
      <c r="M23" s="13"/>
      <c r="N23" s="13"/>
      <c r="O23" s="18"/>
      <c r="P23" s="13"/>
      <c r="Q23" s="14"/>
      <c r="R23" s="27"/>
    </row>
    <row r="24" spans="1:18" x14ac:dyDescent="0.2">
      <c r="A24" s="11"/>
      <c r="B24" s="12"/>
      <c r="C24" s="13"/>
      <c r="D24" s="14"/>
      <c r="E24" s="14"/>
      <c r="F24" s="15"/>
      <c r="G24" s="16"/>
      <c r="H24" s="17"/>
      <c r="I24" s="18"/>
      <c r="J24" s="13"/>
      <c r="K24" s="16"/>
      <c r="L24" s="13"/>
      <c r="M24" s="13"/>
      <c r="N24" s="13"/>
      <c r="O24" s="18"/>
      <c r="P24" s="13"/>
      <c r="Q24" s="14"/>
      <c r="R24" s="27"/>
    </row>
    <row r="25" spans="1:18" x14ac:dyDescent="0.2">
      <c r="A25" s="11"/>
      <c r="B25" s="12"/>
      <c r="C25" s="13"/>
      <c r="D25" s="14"/>
      <c r="E25" s="14"/>
      <c r="F25" s="15"/>
      <c r="G25" s="16"/>
      <c r="H25" s="17"/>
      <c r="I25" s="18"/>
      <c r="J25" s="13"/>
      <c r="K25" s="16"/>
      <c r="L25" s="13"/>
      <c r="M25" s="13"/>
      <c r="N25" s="13"/>
      <c r="O25" s="18"/>
      <c r="P25" s="13"/>
      <c r="Q25" s="14"/>
      <c r="R25" s="27"/>
    </row>
    <row r="26" spans="1:18" x14ac:dyDescent="0.2">
      <c r="A26" s="11"/>
      <c r="B26" s="12"/>
      <c r="C26" s="13"/>
      <c r="D26" s="14"/>
      <c r="E26" s="14"/>
      <c r="F26" s="15"/>
      <c r="G26" s="16"/>
      <c r="H26" s="17"/>
      <c r="I26" s="18"/>
      <c r="J26" s="13"/>
      <c r="K26" s="16"/>
      <c r="L26" s="13"/>
      <c r="M26" s="13"/>
      <c r="N26" s="13"/>
      <c r="O26" s="18"/>
      <c r="P26" s="13"/>
      <c r="Q26" s="14"/>
      <c r="R26" s="27"/>
    </row>
  </sheetData>
  <mergeCells count="4">
    <mergeCell ref="F1:I1"/>
    <mergeCell ref="F3:I3"/>
    <mergeCell ref="O3:P3"/>
    <mergeCell ref="J3:L3"/>
  </mergeCells>
  <pageMargins left="0.23622047244094488" right="0.23622047244094488" top="0.19685039370078741" bottom="0.19685039370078741" header="0.31496062992125984" footer="0.31496062992125984"/>
  <pageSetup paperSize="9" scale="54" orientation="landscape" r:id="rId1"/>
  <headerFooter>
    <oddFooter>&amp;C&amp;1#&amp;"Calibri"&amp;10&amp;K000000Informazione ad uso interno - Internal use information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0C86-7136-46F6-93E8-70495889F4C7}">
  <sheetPr codeName="Foglio2">
    <pageSetUpPr fitToPage="1"/>
  </sheetPr>
  <dimension ref="A1:S33"/>
  <sheetViews>
    <sheetView zoomScaleNormal="100" workbookViewId="0">
      <selection activeCell="O7" sqref="O7"/>
    </sheetView>
  </sheetViews>
  <sheetFormatPr defaultRowHeight="12.75" x14ac:dyDescent="0.2"/>
  <cols>
    <col min="1" max="1" width="22" customWidth="1"/>
    <col min="2" max="2" width="20.85546875" bestFit="1" customWidth="1"/>
    <col min="3" max="3" width="18.7109375" bestFit="1" customWidth="1"/>
    <col min="4" max="4" width="11.140625" bestFit="1" customWidth="1"/>
    <col min="6" max="6" width="26.7109375" customWidth="1"/>
    <col min="7" max="7" width="16" customWidth="1"/>
    <col min="8" max="8" width="25.28515625" customWidth="1"/>
    <col min="9" max="9" width="17.5703125" customWidth="1"/>
    <col min="10" max="10" width="10.7109375" bestFit="1" customWidth="1"/>
    <col min="12" max="12" width="7.42578125" bestFit="1" customWidth="1"/>
    <col min="13" max="13" width="11.140625" bestFit="1" customWidth="1"/>
    <col min="14" max="14" width="10" customWidth="1"/>
    <col min="15" max="15" width="12.85546875" customWidth="1"/>
    <col min="16" max="16" width="13.42578125" customWidth="1"/>
    <col min="19" max="19" width="11.140625" bestFit="1" customWidth="1"/>
  </cols>
  <sheetData>
    <row r="1" spans="1:18" ht="18" x14ac:dyDescent="0.2">
      <c r="A1" s="1"/>
      <c r="B1" s="1"/>
      <c r="C1" s="1"/>
      <c r="D1" s="1"/>
      <c r="E1" s="1"/>
      <c r="F1" s="112" t="str" cm="1">
        <f t="array" ref="F1">'Milano-Venezia SL'!F1:F1</f>
        <v>Direzione Operativa Infrastratture Territoriale VE</v>
      </c>
      <c r="G1" s="112"/>
      <c r="H1" s="112"/>
      <c r="I1" s="112"/>
      <c r="J1" s="1"/>
      <c r="K1" s="1"/>
      <c r="L1" s="1"/>
      <c r="M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  <c r="Q2" s="1"/>
      <c r="R2" s="1"/>
    </row>
    <row r="3" spans="1:18" ht="18" x14ac:dyDescent="0.25">
      <c r="D3" s="1"/>
      <c r="E3" s="3"/>
      <c r="F3" s="113" t="s">
        <v>1</v>
      </c>
      <c r="G3" s="113"/>
      <c r="H3" s="113"/>
      <c r="I3" s="113"/>
      <c r="J3" s="4"/>
      <c r="K3" s="114" t="s">
        <v>2</v>
      </c>
      <c r="L3" s="114"/>
      <c r="M3" s="114"/>
      <c r="N3" s="1"/>
      <c r="O3" s="41" t="s">
        <v>40</v>
      </c>
      <c r="P3" s="115">
        <v>46240</v>
      </c>
      <c r="Q3" s="116"/>
      <c r="R3" s="1"/>
    </row>
    <row r="4" spans="1:1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98"/>
      <c r="Q4" s="1"/>
      <c r="R4" s="1"/>
    </row>
    <row r="5" spans="1:18" ht="18" x14ac:dyDescent="0.25">
      <c r="A5" s="2" t="s">
        <v>4</v>
      </c>
      <c r="B5" s="7">
        <f ca="1">'Milano-Venezia SL'!$B$5</f>
        <v>46244</v>
      </c>
      <c r="C5" s="8"/>
      <c r="D5" s="8"/>
      <c r="E5" s="8"/>
      <c r="F5" s="8"/>
      <c r="G5" s="6"/>
      <c r="H5" s="5"/>
      <c r="I5" s="1"/>
      <c r="J5" s="1"/>
      <c r="K5" s="1"/>
      <c r="L5" s="1"/>
      <c r="M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  <c r="Q6" s="1"/>
      <c r="R6" s="1"/>
    </row>
    <row r="7" spans="1:18" ht="13.5" thickBo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6.25" thickBot="1" x14ac:dyDescent="0.25">
      <c r="A8" s="19" t="s">
        <v>41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39" customHeight="1" thickBot="1" x14ac:dyDescent="0.25">
      <c r="A9" s="42" t="s">
        <v>6</v>
      </c>
      <c r="B9" s="43" t="s">
        <v>7</v>
      </c>
      <c r="C9" s="42" t="s">
        <v>8</v>
      </c>
      <c r="D9" s="43" t="s">
        <v>9</v>
      </c>
      <c r="E9" s="43" t="s">
        <v>10</v>
      </c>
      <c r="F9" s="42" t="s">
        <v>11</v>
      </c>
      <c r="G9" s="42" t="s">
        <v>42</v>
      </c>
      <c r="H9" s="43" t="s">
        <v>13</v>
      </c>
      <c r="I9" s="42" t="s">
        <v>14</v>
      </c>
      <c r="J9" s="43" t="s">
        <v>15</v>
      </c>
      <c r="K9" s="43" t="s">
        <v>16</v>
      </c>
      <c r="L9" s="42" t="s">
        <v>17</v>
      </c>
      <c r="M9" s="44" t="s">
        <v>18</v>
      </c>
      <c r="N9" s="44" t="s">
        <v>19</v>
      </c>
      <c r="O9" s="45" t="s">
        <v>20</v>
      </c>
      <c r="P9" s="46" t="s">
        <v>21</v>
      </c>
      <c r="Q9" s="45" t="s">
        <v>22</v>
      </c>
      <c r="R9" s="47" t="s">
        <v>23</v>
      </c>
    </row>
    <row r="10" spans="1:18" x14ac:dyDescent="0.2">
      <c r="A10" s="103" t="s">
        <v>43</v>
      </c>
      <c r="B10" s="62" t="s">
        <v>44</v>
      </c>
      <c r="C10" s="63" t="s">
        <v>36</v>
      </c>
      <c r="D10" s="63" t="s">
        <v>45</v>
      </c>
      <c r="E10" s="63" t="s">
        <v>46</v>
      </c>
      <c r="F10" s="67" t="s">
        <v>47</v>
      </c>
      <c r="G10" s="65" t="s">
        <v>48</v>
      </c>
      <c r="H10" s="63" t="s">
        <v>49</v>
      </c>
      <c r="I10" s="63" t="s">
        <v>50</v>
      </c>
      <c r="J10" s="68">
        <v>45365</v>
      </c>
      <c r="K10" s="69">
        <v>0.66666666666666663</v>
      </c>
      <c r="L10" s="66"/>
      <c r="M10" s="61"/>
      <c r="N10" s="61"/>
      <c r="O10" s="31"/>
      <c r="P10" s="97"/>
      <c r="Q10" s="94"/>
      <c r="R10" s="95"/>
    </row>
    <row r="11" spans="1:18" x14ac:dyDescent="0.2">
      <c r="A11" s="104" t="s">
        <v>43</v>
      </c>
      <c r="B11" s="64" t="s">
        <v>44</v>
      </c>
      <c r="C11" s="65" t="s">
        <v>26</v>
      </c>
      <c r="D11" s="65" t="s">
        <v>51</v>
      </c>
      <c r="E11" s="65" t="s">
        <v>52</v>
      </c>
      <c r="F11" s="65" t="s">
        <v>53</v>
      </c>
      <c r="G11" s="61" t="s">
        <v>48</v>
      </c>
      <c r="H11" s="65" t="s">
        <v>49</v>
      </c>
      <c r="I11" s="65" t="s">
        <v>50</v>
      </c>
      <c r="J11" s="70">
        <v>45396</v>
      </c>
      <c r="K11" s="71">
        <v>0.66666666666666663</v>
      </c>
      <c r="L11" s="66"/>
      <c r="M11" s="61"/>
      <c r="N11" s="61"/>
      <c r="O11" s="31"/>
      <c r="P11" s="97"/>
      <c r="Q11" s="94"/>
      <c r="R11" s="96"/>
    </row>
    <row r="12" spans="1:18" x14ac:dyDescent="0.2">
      <c r="A12" s="104" t="s">
        <v>54</v>
      </c>
      <c r="B12" s="64" t="s">
        <v>55</v>
      </c>
      <c r="C12" s="65" t="s">
        <v>56</v>
      </c>
      <c r="D12" s="65" t="s">
        <v>57</v>
      </c>
      <c r="E12" s="65" t="s">
        <v>58</v>
      </c>
      <c r="F12" s="65" t="s">
        <v>59</v>
      </c>
      <c r="G12" s="61" t="s">
        <v>48</v>
      </c>
      <c r="H12" s="65" t="s">
        <v>60</v>
      </c>
      <c r="I12" s="65" t="s">
        <v>50</v>
      </c>
      <c r="J12" s="70">
        <v>46163</v>
      </c>
      <c r="K12" s="71" t="s">
        <v>61</v>
      </c>
      <c r="L12" s="66"/>
      <c r="M12" s="61"/>
      <c r="N12" s="61"/>
      <c r="O12" s="31" t="s">
        <v>50</v>
      </c>
      <c r="P12" s="97">
        <v>46265</v>
      </c>
      <c r="Q12" s="94"/>
      <c r="R12" s="96"/>
    </row>
    <row r="13" spans="1:18" x14ac:dyDescent="0.2">
      <c r="A13" s="104" t="s">
        <v>54</v>
      </c>
      <c r="B13" s="64" t="s">
        <v>55</v>
      </c>
      <c r="C13" s="65" t="s">
        <v>62</v>
      </c>
      <c r="D13" s="65" t="s">
        <v>63</v>
      </c>
      <c r="E13" s="65" t="s">
        <v>64</v>
      </c>
      <c r="F13" s="65" t="s">
        <v>65</v>
      </c>
      <c r="G13" s="61" t="s">
        <v>48</v>
      </c>
      <c r="H13" s="65" t="s">
        <v>60</v>
      </c>
      <c r="I13" s="65" t="s">
        <v>50</v>
      </c>
      <c r="J13" s="70">
        <v>46163</v>
      </c>
      <c r="K13" s="71" t="s">
        <v>61</v>
      </c>
      <c r="L13" s="66"/>
      <c r="M13" s="61"/>
      <c r="N13" s="61"/>
      <c r="O13" s="31" t="s">
        <v>50</v>
      </c>
      <c r="P13" s="97">
        <v>46265</v>
      </c>
      <c r="Q13" s="94"/>
      <c r="R13" s="96"/>
    </row>
    <row r="14" spans="1:18" x14ac:dyDescent="0.2">
      <c r="A14" s="105" t="s">
        <v>66</v>
      </c>
      <c r="B14" s="99" t="s">
        <v>67</v>
      </c>
      <c r="C14" s="99" t="s">
        <v>56</v>
      </c>
      <c r="D14" s="99" t="s">
        <v>68</v>
      </c>
      <c r="E14" s="99" t="s">
        <v>69</v>
      </c>
      <c r="F14" s="99" t="s">
        <v>70</v>
      </c>
      <c r="G14" s="99" t="s">
        <v>48</v>
      </c>
      <c r="H14" s="99" t="s">
        <v>60</v>
      </c>
      <c r="I14" s="99" t="s">
        <v>50</v>
      </c>
      <c r="J14" s="70">
        <v>46219</v>
      </c>
      <c r="K14" s="71">
        <v>0.33333333333333331</v>
      </c>
      <c r="L14" s="52" t="s">
        <v>32</v>
      </c>
      <c r="M14" s="52" t="s">
        <v>32</v>
      </c>
      <c r="N14" s="52" t="s">
        <v>32</v>
      </c>
      <c r="O14" s="100" t="s">
        <v>50</v>
      </c>
      <c r="P14" s="97">
        <v>46265</v>
      </c>
      <c r="Q14" s="94"/>
      <c r="R14" s="96"/>
    </row>
    <row r="15" spans="1:18" x14ac:dyDescent="0.2">
      <c r="A15" s="106" t="s">
        <v>66</v>
      </c>
      <c r="B15" s="101" t="s">
        <v>67</v>
      </c>
      <c r="C15" s="101" t="s">
        <v>62</v>
      </c>
      <c r="D15" s="101" t="s">
        <v>71</v>
      </c>
      <c r="E15" s="101" t="s">
        <v>72</v>
      </c>
      <c r="F15" s="101" t="s">
        <v>73</v>
      </c>
      <c r="G15" s="101" t="s">
        <v>48</v>
      </c>
      <c r="H15" s="101" t="s">
        <v>60</v>
      </c>
      <c r="I15" s="101" t="s">
        <v>50</v>
      </c>
      <c r="J15" s="70">
        <v>46219</v>
      </c>
      <c r="K15" s="71">
        <v>0.33333333333333331</v>
      </c>
      <c r="L15" s="102" t="s">
        <v>32</v>
      </c>
      <c r="M15" s="102" t="s">
        <v>32</v>
      </c>
      <c r="N15" s="102" t="s">
        <v>32</v>
      </c>
      <c r="O15" s="31" t="s">
        <v>50</v>
      </c>
      <c r="P15" s="97">
        <v>46265</v>
      </c>
      <c r="Q15" s="94"/>
      <c r="R15" s="96"/>
    </row>
    <row r="16" spans="1:18" x14ac:dyDescent="0.2">
      <c r="A16" s="103" t="s">
        <v>74</v>
      </c>
      <c r="B16" s="101" t="s">
        <v>75</v>
      </c>
      <c r="C16" s="101" t="s">
        <v>76</v>
      </c>
      <c r="D16" s="91" t="s">
        <v>77</v>
      </c>
      <c r="E16" s="91" t="s">
        <v>78</v>
      </c>
      <c r="F16" s="91" t="s">
        <v>79</v>
      </c>
      <c r="G16" s="101" t="s">
        <v>48</v>
      </c>
      <c r="H16" s="101" t="s">
        <v>60</v>
      </c>
      <c r="I16" s="101" t="s">
        <v>50</v>
      </c>
      <c r="J16" s="107">
        <v>46220</v>
      </c>
      <c r="K16" s="109">
        <v>0.33333333333333331</v>
      </c>
      <c r="L16" s="101" t="s">
        <v>32</v>
      </c>
      <c r="M16" s="101" t="s">
        <v>32</v>
      </c>
      <c r="N16" s="101" t="s">
        <v>32</v>
      </c>
      <c r="O16" s="101" t="s">
        <v>50</v>
      </c>
      <c r="P16" s="97">
        <v>46265</v>
      </c>
      <c r="Q16" s="94"/>
      <c r="R16" s="96"/>
    </row>
    <row r="17" spans="1:19" x14ac:dyDescent="0.2">
      <c r="A17" s="103" t="s">
        <v>80</v>
      </c>
      <c r="B17" s="101" t="s">
        <v>81</v>
      </c>
      <c r="C17" s="101" t="s">
        <v>76</v>
      </c>
      <c r="D17" s="101" t="s">
        <v>82</v>
      </c>
      <c r="E17" s="101" t="s">
        <v>83</v>
      </c>
      <c r="F17" s="101" t="s">
        <v>84</v>
      </c>
      <c r="G17" s="101" t="s">
        <v>48</v>
      </c>
      <c r="H17" s="101" t="s">
        <v>60</v>
      </c>
      <c r="I17" s="101" t="s">
        <v>50</v>
      </c>
      <c r="J17" s="108">
        <v>46220</v>
      </c>
      <c r="K17" s="109">
        <v>0.33333333333333331</v>
      </c>
      <c r="L17" s="101" t="s">
        <v>32</v>
      </c>
      <c r="M17" s="101" t="s">
        <v>32</v>
      </c>
      <c r="N17" s="101" t="s">
        <v>32</v>
      </c>
      <c r="O17" s="101" t="s">
        <v>50</v>
      </c>
      <c r="P17" s="97">
        <v>46265</v>
      </c>
      <c r="Q17" s="94"/>
      <c r="R17" s="96"/>
    </row>
    <row r="18" spans="1:19" x14ac:dyDescent="0.2">
      <c r="A18" s="103" t="s">
        <v>80</v>
      </c>
      <c r="B18" s="101" t="s">
        <v>81</v>
      </c>
      <c r="C18" s="101" t="s">
        <v>85</v>
      </c>
      <c r="D18" s="101" t="s">
        <v>86</v>
      </c>
      <c r="E18" s="101" t="s">
        <v>82</v>
      </c>
      <c r="F18" s="101" t="s">
        <v>87</v>
      </c>
      <c r="G18" s="101" t="s">
        <v>48</v>
      </c>
      <c r="H18" s="101" t="s">
        <v>60</v>
      </c>
      <c r="I18" s="101" t="s">
        <v>50</v>
      </c>
      <c r="J18" s="108">
        <v>46220</v>
      </c>
      <c r="K18" s="109">
        <v>0.33333333333333331</v>
      </c>
      <c r="L18" s="101" t="s">
        <v>32</v>
      </c>
      <c r="M18" s="101" t="s">
        <v>32</v>
      </c>
      <c r="N18" s="101" t="s">
        <v>32</v>
      </c>
      <c r="O18" s="101" t="s">
        <v>50</v>
      </c>
      <c r="P18" s="97">
        <v>46265</v>
      </c>
      <c r="Q18" s="94"/>
      <c r="R18" s="96"/>
    </row>
    <row r="19" spans="1:19" x14ac:dyDescent="0.2">
      <c r="A19" s="103" t="s">
        <v>88</v>
      </c>
      <c r="B19" s="101" t="s">
        <v>89</v>
      </c>
      <c r="C19" s="101" t="s">
        <v>76</v>
      </c>
      <c r="D19" s="101" t="s">
        <v>90</v>
      </c>
      <c r="E19" s="101" t="s">
        <v>91</v>
      </c>
      <c r="F19" s="101" t="s">
        <v>92</v>
      </c>
      <c r="G19" s="101" t="s">
        <v>48</v>
      </c>
      <c r="H19" s="101" t="s">
        <v>60</v>
      </c>
      <c r="I19" s="101" t="s">
        <v>50</v>
      </c>
      <c r="J19" s="108">
        <v>46220</v>
      </c>
      <c r="K19" s="109">
        <v>0.33333333333333331</v>
      </c>
      <c r="L19" s="101" t="s">
        <v>32</v>
      </c>
      <c r="M19" s="101" t="s">
        <v>32</v>
      </c>
      <c r="N19" s="101" t="s">
        <v>32</v>
      </c>
      <c r="O19" s="101" t="s">
        <v>50</v>
      </c>
      <c r="P19" s="97">
        <v>46265</v>
      </c>
      <c r="Q19" s="94"/>
      <c r="R19" s="96"/>
    </row>
    <row r="20" spans="1:19" x14ac:dyDescent="0.2">
      <c r="A20" s="103" t="s">
        <v>88</v>
      </c>
      <c r="B20" s="101" t="s">
        <v>89</v>
      </c>
      <c r="C20" s="101" t="s">
        <v>85</v>
      </c>
      <c r="D20" s="101" t="s">
        <v>91</v>
      </c>
      <c r="E20" s="101" t="s">
        <v>93</v>
      </c>
      <c r="F20" s="101" t="s">
        <v>94</v>
      </c>
      <c r="G20" s="101" t="s">
        <v>48</v>
      </c>
      <c r="H20" s="101" t="s">
        <v>60</v>
      </c>
      <c r="I20" s="101" t="s">
        <v>50</v>
      </c>
      <c r="J20" s="108">
        <v>46220</v>
      </c>
      <c r="K20" s="109">
        <v>0.33333333333333331</v>
      </c>
      <c r="L20" s="101" t="s">
        <v>32</v>
      </c>
      <c r="M20" s="101" t="s">
        <v>32</v>
      </c>
      <c r="N20" s="101" t="s">
        <v>32</v>
      </c>
      <c r="O20" s="101" t="s">
        <v>50</v>
      </c>
      <c r="P20" s="97">
        <v>46265</v>
      </c>
      <c r="Q20" s="94"/>
      <c r="R20" s="96"/>
    </row>
    <row r="21" spans="1:19" x14ac:dyDescent="0.2">
      <c r="A21" s="103" t="s">
        <v>88</v>
      </c>
      <c r="B21" s="101" t="s">
        <v>89</v>
      </c>
      <c r="C21" s="101" t="s">
        <v>76</v>
      </c>
      <c r="D21" s="101" t="s">
        <v>95</v>
      </c>
      <c r="E21" s="101" t="s">
        <v>96</v>
      </c>
      <c r="F21" s="101" t="s">
        <v>97</v>
      </c>
      <c r="G21" s="101" t="s">
        <v>48</v>
      </c>
      <c r="H21" s="101" t="s">
        <v>60</v>
      </c>
      <c r="I21" s="101" t="s">
        <v>50</v>
      </c>
      <c r="J21" s="108">
        <v>46220</v>
      </c>
      <c r="K21" s="109">
        <v>0.33333333333333331</v>
      </c>
      <c r="L21" s="101" t="s">
        <v>32</v>
      </c>
      <c r="M21" s="101" t="s">
        <v>32</v>
      </c>
      <c r="N21" s="101" t="s">
        <v>32</v>
      </c>
      <c r="O21" s="101" t="s">
        <v>50</v>
      </c>
      <c r="P21" s="97">
        <v>46265</v>
      </c>
      <c r="Q21" s="94"/>
      <c r="R21" s="96"/>
    </row>
    <row r="22" spans="1:19" x14ac:dyDescent="0.2">
      <c r="A22" s="103" t="s">
        <v>88</v>
      </c>
      <c r="B22" s="101" t="s">
        <v>89</v>
      </c>
      <c r="C22" s="101" t="s">
        <v>85</v>
      </c>
      <c r="D22" s="101" t="s">
        <v>98</v>
      </c>
      <c r="E22" s="101" t="s">
        <v>99</v>
      </c>
      <c r="F22" s="101" t="s">
        <v>100</v>
      </c>
      <c r="G22" s="101" t="s">
        <v>48</v>
      </c>
      <c r="H22" s="101" t="s">
        <v>60</v>
      </c>
      <c r="I22" s="101" t="s">
        <v>50</v>
      </c>
      <c r="J22" s="108">
        <v>46220</v>
      </c>
      <c r="K22" s="109">
        <v>0.33333333333333331</v>
      </c>
      <c r="L22" s="101" t="s">
        <v>32</v>
      </c>
      <c r="M22" s="101" t="s">
        <v>32</v>
      </c>
      <c r="N22" s="101" t="s">
        <v>32</v>
      </c>
      <c r="O22" s="101" t="s">
        <v>50</v>
      </c>
      <c r="P22" s="97">
        <v>46265</v>
      </c>
      <c r="Q22" s="94"/>
      <c r="R22" s="96"/>
    </row>
    <row r="23" spans="1:19" x14ac:dyDescent="0.2">
      <c r="A23" s="103" t="s">
        <v>101</v>
      </c>
      <c r="B23" s="101" t="s">
        <v>102</v>
      </c>
      <c r="C23" s="101" t="s">
        <v>85</v>
      </c>
      <c r="D23" s="101" t="s">
        <v>103</v>
      </c>
      <c r="E23" s="101" t="s">
        <v>104</v>
      </c>
      <c r="F23" s="101" t="s">
        <v>105</v>
      </c>
      <c r="G23" s="101" t="s">
        <v>48</v>
      </c>
      <c r="H23" s="101" t="s">
        <v>60</v>
      </c>
      <c r="I23" s="101" t="s">
        <v>50</v>
      </c>
      <c r="J23" s="108">
        <v>46220</v>
      </c>
      <c r="K23" s="109">
        <v>0.33333333333333331</v>
      </c>
      <c r="L23" s="101" t="s">
        <v>32</v>
      </c>
      <c r="M23" s="101" t="s">
        <v>32</v>
      </c>
      <c r="N23" s="101" t="s">
        <v>32</v>
      </c>
      <c r="O23" s="101" t="s">
        <v>50</v>
      </c>
      <c r="P23" s="97">
        <v>46265</v>
      </c>
      <c r="Q23" s="94"/>
      <c r="R23" s="96"/>
    </row>
    <row r="24" spans="1:19" x14ac:dyDescent="0.2">
      <c r="A24" s="103" t="s">
        <v>101</v>
      </c>
      <c r="B24" s="101" t="s">
        <v>102</v>
      </c>
      <c r="C24" s="101" t="s">
        <v>76</v>
      </c>
      <c r="D24" s="101" t="s">
        <v>106</v>
      </c>
      <c r="E24" s="101" t="s">
        <v>107</v>
      </c>
      <c r="F24" s="101" t="s">
        <v>108</v>
      </c>
      <c r="G24" s="101" t="s">
        <v>48</v>
      </c>
      <c r="H24" s="101" t="s">
        <v>60</v>
      </c>
      <c r="I24" s="101" t="s">
        <v>50</v>
      </c>
      <c r="J24" s="108">
        <v>46220</v>
      </c>
      <c r="K24" s="109">
        <v>0.33333333333333331</v>
      </c>
      <c r="L24" s="101" t="s">
        <v>32</v>
      </c>
      <c r="M24" s="101" t="s">
        <v>32</v>
      </c>
      <c r="N24" s="101" t="s">
        <v>32</v>
      </c>
      <c r="O24" s="101" t="s">
        <v>50</v>
      </c>
      <c r="P24" s="97">
        <v>46265</v>
      </c>
      <c r="Q24" s="94"/>
      <c r="R24" s="96"/>
    </row>
    <row r="25" spans="1:19" x14ac:dyDescent="0.2">
      <c r="A25" s="58"/>
      <c r="B25" s="64"/>
      <c r="C25" s="65"/>
      <c r="D25" s="65"/>
      <c r="E25" s="65"/>
      <c r="F25" s="65"/>
      <c r="G25" s="61"/>
      <c r="H25" s="65"/>
      <c r="I25" s="65"/>
      <c r="J25" s="70"/>
      <c r="K25" s="71"/>
      <c r="L25" s="66"/>
      <c r="M25" s="61"/>
      <c r="N25" s="61"/>
      <c r="O25" s="31"/>
      <c r="P25" s="97"/>
      <c r="Q25" s="94"/>
      <c r="R25" s="96"/>
    </row>
    <row r="26" spans="1:19" x14ac:dyDescent="0.2">
      <c r="A26" s="58"/>
      <c r="B26" s="64"/>
      <c r="C26" s="65"/>
      <c r="D26" s="65"/>
      <c r="E26" s="65"/>
      <c r="F26" s="65"/>
      <c r="G26" s="61"/>
      <c r="H26" s="65"/>
      <c r="I26" s="65"/>
      <c r="J26" s="70"/>
      <c r="K26" s="71"/>
      <c r="L26" s="66"/>
      <c r="M26" s="61"/>
      <c r="N26" s="61"/>
      <c r="O26" s="31"/>
      <c r="P26" s="97"/>
      <c r="Q26" s="94"/>
      <c r="R26" s="96"/>
    </row>
    <row r="27" spans="1:19" x14ac:dyDescent="0.2">
      <c r="A27" s="58"/>
      <c r="B27" s="64"/>
      <c r="C27" s="65"/>
      <c r="D27" s="65"/>
      <c r="E27" s="65"/>
      <c r="F27" s="65"/>
      <c r="G27" s="61"/>
      <c r="H27" s="65"/>
      <c r="I27" s="65"/>
      <c r="J27" s="70"/>
      <c r="K27" s="71"/>
      <c r="L27" s="66"/>
      <c r="M27" s="61"/>
      <c r="N27" s="61"/>
      <c r="O27" s="31"/>
      <c r="P27" s="97"/>
      <c r="Q27" s="94"/>
      <c r="R27" s="96"/>
    </row>
    <row r="28" spans="1:19" x14ac:dyDescent="0.2">
      <c r="A28" s="58"/>
      <c r="B28" s="64"/>
      <c r="C28" s="65"/>
      <c r="D28" s="65"/>
      <c r="E28" s="65"/>
      <c r="F28" s="65"/>
      <c r="G28" s="61"/>
      <c r="H28" s="65"/>
      <c r="I28" s="65"/>
      <c r="J28" s="70"/>
      <c r="K28" s="71"/>
      <c r="L28" s="66"/>
      <c r="M28" s="61"/>
      <c r="N28" s="61"/>
      <c r="O28" s="31"/>
      <c r="P28" s="97"/>
      <c r="Q28" s="94"/>
      <c r="R28" s="96"/>
    </row>
    <row r="29" spans="1:19" x14ac:dyDescent="0.2">
      <c r="A29" s="58"/>
      <c r="B29" s="64"/>
      <c r="C29" s="65"/>
      <c r="D29" s="65"/>
      <c r="E29" s="65"/>
      <c r="F29" s="65"/>
      <c r="G29" s="61"/>
      <c r="H29" s="65"/>
      <c r="I29" s="65"/>
      <c r="J29" s="70"/>
      <c r="K29" s="71"/>
      <c r="L29" s="66"/>
      <c r="M29" s="61"/>
      <c r="N29" s="61"/>
      <c r="O29" s="31"/>
      <c r="P29" s="97"/>
      <c r="Q29" s="94"/>
      <c r="R29" s="96"/>
    </row>
    <row r="30" spans="1:19" x14ac:dyDescent="0.2">
      <c r="A30" s="58"/>
      <c r="B30" s="64"/>
      <c r="C30" s="65"/>
      <c r="D30" s="65"/>
      <c r="E30" s="65"/>
      <c r="F30" s="65"/>
      <c r="G30" s="61"/>
      <c r="H30" s="65"/>
      <c r="I30" s="65"/>
      <c r="J30" s="70"/>
      <c r="K30" s="71"/>
      <c r="L30" s="66"/>
      <c r="M30" s="61"/>
      <c r="N30" s="61"/>
      <c r="O30" s="31"/>
      <c r="P30" s="97"/>
      <c r="Q30" s="94"/>
      <c r="R30" s="96"/>
      <c r="S30" t="s">
        <v>109</v>
      </c>
    </row>
    <row r="31" spans="1:19" x14ac:dyDescent="0.2">
      <c r="A31" s="58"/>
      <c r="B31" s="64"/>
      <c r="C31" s="65"/>
      <c r="D31" s="65"/>
      <c r="E31" s="65"/>
      <c r="F31" s="65"/>
      <c r="G31" s="61"/>
      <c r="H31" s="65"/>
      <c r="I31" s="65"/>
      <c r="J31" s="70"/>
      <c r="K31" s="71"/>
      <c r="L31" s="66"/>
      <c r="M31" s="61"/>
      <c r="N31" s="61"/>
      <c r="O31" s="31"/>
      <c r="P31" s="97"/>
      <c r="Q31" s="94"/>
      <c r="R31" s="96"/>
      <c r="S31" t="s">
        <v>109</v>
      </c>
    </row>
    <row r="32" spans="1:19" x14ac:dyDescent="0.2">
      <c r="A32" s="58"/>
      <c r="B32" s="64"/>
      <c r="C32" s="65"/>
      <c r="D32" s="65"/>
      <c r="E32" s="65"/>
      <c r="F32" s="65"/>
      <c r="G32" s="61"/>
      <c r="H32" s="65"/>
      <c r="I32" s="65"/>
      <c r="J32" s="70"/>
      <c r="K32" s="71"/>
      <c r="L32" s="66"/>
      <c r="M32" s="61"/>
      <c r="N32" s="61"/>
      <c r="O32" s="31"/>
      <c r="P32" s="97"/>
      <c r="Q32" s="94"/>
      <c r="R32" s="96"/>
      <c r="S32" t="s">
        <v>109</v>
      </c>
    </row>
    <row r="33" spans="1:19" x14ac:dyDescent="0.2">
      <c r="A33" s="58"/>
      <c r="B33" s="64"/>
      <c r="C33" s="65"/>
      <c r="D33" s="65"/>
      <c r="E33" s="65"/>
      <c r="F33" s="65"/>
      <c r="G33" s="61"/>
      <c r="H33" s="65"/>
      <c r="I33" s="65"/>
      <c r="J33" s="70"/>
      <c r="K33" s="71"/>
      <c r="L33" s="66"/>
      <c r="M33" s="61"/>
      <c r="N33" s="61"/>
      <c r="O33" s="31"/>
      <c r="P33" s="97"/>
      <c r="Q33" s="94"/>
      <c r="R33" s="96"/>
      <c r="S33" t="s">
        <v>109</v>
      </c>
    </row>
  </sheetData>
  <mergeCells count="4">
    <mergeCell ref="F1:I1"/>
    <mergeCell ref="F3:I3"/>
    <mergeCell ref="K3:M3"/>
    <mergeCell ref="P3:Q3"/>
  </mergeCells>
  <pageMargins left="0.25" right="0.25" top="0.75" bottom="0.75" header="0.3" footer="0.3"/>
  <pageSetup paperSize="9" scale="51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2269-6417-4F6C-887A-253D1DC17352}">
  <sheetPr codeName="Foglio5"/>
  <dimension ref="A1:R24"/>
  <sheetViews>
    <sheetView workbookViewId="0">
      <selection activeCell="A10" sqref="A10:XFD10"/>
    </sheetView>
  </sheetViews>
  <sheetFormatPr defaultRowHeight="12.75" x14ac:dyDescent="0.2"/>
  <cols>
    <col min="1" max="1" width="22.7109375" bestFit="1" customWidth="1"/>
    <col min="2" max="2" width="34.42578125" bestFit="1" customWidth="1"/>
    <col min="3" max="3" width="15.5703125" bestFit="1" customWidth="1"/>
    <col min="4" max="4" width="8.140625" bestFit="1" customWidth="1"/>
    <col min="6" max="6" width="30.85546875" bestFit="1" customWidth="1"/>
    <col min="7" max="7" width="15.5703125" bestFit="1" customWidth="1"/>
    <col min="8" max="8" width="28.28515625" bestFit="1" customWidth="1"/>
    <col min="9" max="9" width="11.42578125" bestFit="1" customWidth="1"/>
    <col min="10" max="10" width="10.7109375" bestFit="1" customWidth="1"/>
    <col min="14" max="14" width="15.5703125" bestFit="1" customWidth="1"/>
    <col min="15" max="15" width="12.85546875" customWidth="1"/>
    <col min="16" max="16" width="13.42578125" customWidth="1"/>
  </cols>
  <sheetData>
    <row r="1" spans="1:18" ht="18" x14ac:dyDescent="0.2">
      <c r="A1" s="1"/>
      <c r="B1" s="1"/>
      <c r="C1" s="1"/>
      <c r="D1" s="1"/>
      <c r="E1" s="1"/>
      <c r="F1" s="112" t="str" cm="1">
        <f t="array" ref="F1">'Milano-Venezia SL'!F1:F1</f>
        <v>Direzione Operativa Infrastratture Territoriale VE</v>
      </c>
      <c r="G1" s="112"/>
      <c r="H1" s="112"/>
      <c r="I1" s="112"/>
      <c r="J1" s="1"/>
      <c r="K1" s="1"/>
      <c r="L1" s="1"/>
      <c r="M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  <c r="Q2" s="1"/>
      <c r="R2" s="1"/>
    </row>
    <row r="3" spans="1:18" ht="18" x14ac:dyDescent="0.25">
      <c r="D3" s="1"/>
      <c r="E3" s="3"/>
      <c r="F3" s="113" t="s">
        <v>1</v>
      </c>
      <c r="G3" s="113"/>
      <c r="H3" s="113"/>
      <c r="I3" s="113"/>
      <c r="J3" s="114" t="s">
        <v>2</v>
      </c>
      <c r="K3" s="114"/>
      <c r="L3" s="114"/>
      <c r="M3" s="1"/>
      <c r="N3" s="41" t="s">
        <v>110</v>
      </c>
      <c r="O3" s="115">
        <v>45734</v>
      </c>
      <c r="P3" s="116"/>
      <c r="Q3" s="1"/>
      <c r="R3" s="1"/>
    </row>
    <row r="4" spans="1:1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  <c r="Q4" s="1"/>
      <c r="R4" s="1"/>
    </row>
    <row r="5" spans="1:18" ht="18" x14ac:dyDescent="0.25">
      <c r="A5" s="2" t="s">
        <v>4</v>
      </c>
      <c r="B5" s="7">
        <f ca="1">'Milano-Venezia SL'!$B$5</f>
        <v>46244</v>
      </c>
      <c r="C5" s="8"/>
      <c r="D5" s="8"/>
      <c r="E5" s="8"/>
      <c r="F5" s="8"/>
      <c r="G5" s="6"/>
      <c r="H5" s="5"/>
      <c r="I5" s="1"/>
      <c r="J5" s="1"/>
      <c r="K5" s="1"/>
      <c r="L5" s="1"/>
      <c r="M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  <c r="Q6" s="1"/>
      <c r="R6" s="1"/>
    </row>
    <row r="7" spans="1:18" ht="13.5" thickBo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39" thickBot="1" x14ac:dyDescent="0.25">
      <c r="A8" s="19" t="s">
        <v>111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39" thickBot="1" x14ac:dyDescent="0.25">
      <c r="A9" s="42" t="s">
        <v>6</v>
      </c>
      <c r="B9" s="43" t="s">
        <v>7</v>
      </c>
      <c r="C9" s="42" t="s">
        <v>8</v>
      </c>
      <c r="D9" s="43" t="s">
        <v>9</v>
      </c>
      <c r="E9" s="43" t="s">
        <v>10</v>
      </c>
      <c r="F9" s="42" t="s">
        <v>11</v>
      </c>
      <c r="G9" s="42" t="s">
        <v>42</v>
      </c>
      <c r="H9" s="43" t="s">
        <v>13</v>
      </c>
      <c r="I9" s="42" t="s">
        <v>14</v>
      </c>
      <c r="J9" s="43" t="s">
        <v>15</v>
      </c>
      <c r="K9" s="43" t="s">
        <v>16</v>
      </c>
      <c r="L9" s="42" t="s">
        <v>17</v>
      </c>
      <c r="M9" s="44" t="s">
        <v>18</v>
      </c>
      <c r="N9" s="44" t="s">
        <v>19</v>
      </c>
      <c r="O9" s="45" t="s">
        <v>20</v>
      </c>
      <c r="P9" s="46" t="s">
        <v>21</v>
      </c>
      <c r="Q9" s="45" t="s">
        <v>22</v>
      </c>
      <c r="R9" s="47" t="s">
        <v>23</v>
      </c>
    </row>
    <row r="10" spans="1:18" ht="15" x14ac:dyDescent="0.2">
      <c r="A10" s="51"/>
      <c r="B10" s="29"/>
      <c r="C10" s="29"/>
      <c r="D10" s="29"/>
      <c r="E10" s="29"/>
      <c r="F10" s="29"/>
      <c r="G10" s="29"/>
      <c r="H10" s="35"/>
      <c r="I10" s="35"/>
      <c r="J10" s="34"/>
      <c r="K10" s="36"/>
      <c r="L10" s="29"/>
      <c r="M10" s="29"/>
      <c r="N10" s="35"/>
      <c r="O10" s="35"/>
      <c r="P10" s="53"/>
      <c r="Q10" s="14"/>
      <c r="R10" s="27"/>
    </row>
    <row r="11" spans="1:18" x14ac:dyDescent="0.2">
      <c r="A11" s="11"/>
      <c r="B11" s="12"/>
      <c r="C11" s="13"/>
      <c r="D11" s="14"/>
      <c r="E11" s="14"/>
      <c r="F11" s="15"/>
      <c r="G11" s="16"/>
      <c r="H11" s="17"/>
      <c r="I11" s="18"/>
      <c r="J11" s="13"/>
      <c r="K11" s="16"/>
      <c r="L11" s="13"/>
      <c r="M11" s="13"/>
      <c r="N11" s="35"/>
      <c r="O11" s="18"/>
      <c r="P11" s="13"/>
      <c r="Q11" s="14"/>
      <c r="R11" s="27"/>
    </row>
    <row r="12" spans="1:18" x14ac:dyDescent="0.2">
      <c r="A12" s="11"/>
      <c r="B12" s="12"/>
      <c r="C12" s="13"/>
      <c r="D12" s="14"/>
      <c r="E12" s="14"/>
      <c r="F12" s="15"/>
      <c r="G12" s="16"/>
      <c r="H12" s="17"/>
      <c r="I12" s="18"/>
      <c r="J12" s="13"/>
      <c r="K12" s="16"/>
      <c r="L12" s="13"/>
      <c r="M12" s="13"/>
      <c r="N12" s="13"/>
      <c r="O12" s="18"/>
      <c r="P12" s="13"/>
      <c r="Q12" s="14"/>
      <c r="R12" s="27"/>
    </row>
    <row r="13" spans="1:18" x14ac:dyDescent="0.2">
      <c r="A13" s="11"/>
      <c r="B13" s="12"/>
      <c r="C13" s="13"/>
      <c r="D13" s="14"/>
      <c r="E13" s="14"/>
      <c r="F13" s="15"/>
      <c r="G13" s="16"/>
      <c r="H13" s="17"/>
      <c r="I13" s="18"/>
      <c r="J13" s="13"/>
      <c r="K13" s="16"/>
      <c r="L13" s="13"/>
      <c r="M13" s="13"/>
      <c r="N13" s="13"/>
      <c r="O13" s="18"/>
      <c r="P13" s="13"/>
      <c r="Q13" s="14"/>
      <c r="R13" s="27"/>
    </row>
    <row r="14" spans="1:18" x14ac:dyDescent="0.2">
      <c r="A14" s="11"/>
      <c r="B14" s="12"/>
      <c r="C14" s="13"/>
      <c r="D14" s="14"/>
      <c r="E14" s="14"/>
      <c r="F14" s="15"/>
      <c r="G14" s="16"/>
      <c r="H14" s="17"/>
      <c r="I14" s="18"/>
      <c r="J14" s="13"/>
      <c r="K14" s="16"/>
      <c r="L14" s="13"/>
      <c r="M14" s="13"/>
      <c r="N14" s="13"/>
      <c r="O14" s="18"/>
      <c r="P14" s="13"/>
      <c r="Q14" s="14"/>
      <c r="R14" s="27"/>
    </row>
    <row r="15" spans="1:18" x14ac:dyDescent="0.2">
      <c r="A15" s="11"/>
      <c r="B15" s="12"/>
      <c r="C15" s="13"/>
      <c r="D15" s="14"/>
      <c r="E15" s="14"/>
      <c r="F15" s="15"/>
      <c r="G15" s="16"/>
      <c r="H15" s="17"/>
      <c r="I15" s="18"/>
      <c r="J15" s="13"/>
      <c r="K15" s="16"/>
      <c r="L15" s="13"/>
      <c r="M15" s="13"/>
      <c r="N15" s="13"/>
      <c r="O15" s="18"/>
      <c r="P15" s="13"/>
      <c r="Q15" s="14"/>
      <c r="R15" s="27"/>
    </row>
    <row r="16" spans="1:18" x14ac:dyDescent="0.2">
      <c r="A16" s="11"/>
      <c r="B16" s="12"/>
      <c r="C16" s="13"/>
      <c r="D16" s="14"/>
      <c r="E16" s="14"/>
      <c r="F16" s="15"/>
      <c r="G16" s="16"/>
      <c r="H16" s="17"/>
      <c r="I16" s="18"/>
      <c r="J16" s="13"/>
      <c r="K16" s="16"/>
      <c r="L16" s="13"/>
      <c r="M16" s="13"/>
      <c r="N16" s="13"/>
      <c r="O16" s="18"/>
      <c r="P16" s="13"/>
      <c r="Q16" s="14"/>
      <c r="R16" s="27"/>
    </row>
    <row r="17" spans="1:18" x14ac:dyDescent="0.2">
      <c r="A17" s="11"/>
      <c r="B17" s="12"/>
      <c r="C17" s="13"/>
      <c r="D17" s="14"/>
      <c r="E17" s="14"/>
      <c r="F17" s="15"/>
      <c r="G17" s="16"/>
      <c r="H17" s="17"/>
      <c r="I17" s="18"/>
      <c r="J17" s="13"/>
      <c r="K17" s="16"/>
      <c r="L17" s="13"/>
      <c r="M17" s="13"/>
      <c r="N17" s="13"/>
      <c r="O17" s="18"/>
      <c r="P17" s="13"/>
      <c r="Q17" s="14"/>
      <c r="R17" s="27"/>
    </row>
    <row r="18" spans="1:18" x14ac:dyDescent="0.2">
      <c r="A18" s="11"/>
      <c r="B18" s="12"/>
      <c r="C18" s="13"/>
      <c r="D18" s="14"/>
      <c r="E18" s="14"/>
      <c r="F18" s="15"/>
      <c r="G18" s="16"/>
      <c r="H18" s="17"/>
      <c r="I18" s="18"/>
      <c r="J18" s="13"/>
      <c r="K18" s="16"/>
      <c r="L18" s="13"/>
      <c r="M18" s="13"/>
      <c r="N18" s="13"/>
      <c r="O18" s="18"/>
      <c r="P18" s="13"/>
      <c r="Q18" s="14"/>
      <c r="R18" s="27"/>
    </row>
    <row r="19" spans="1:18" x14ac:dyDescent="0.2">
      <c r="A19" s="11"/>
      <c r="B19" s="12"/>
      <c r="C19" s="13"/>
      <c r="D19" s="14"/>
      <c r="E19" s="14"/>
      <c r="F19" s="15"/>
      <c r="G19" s="16"/>
      <c r="H19" s="17"/>
      <c r="I19" s="18"/>
      <c r="J19" s="13"/>
      <c r="K19" s="16"/>
      <c r="L19" s="13"/>
      <c r="M19" s="13"/>
      <c r="N19" s="13"/>
      <c r="O19" s="18"/>
      <c r="P19" s="13"/>
      <c r="Q19" s="14"/>
      <c r="R19" s="27"/>
    </row>
    <row r="20" spans="1:18" x14ac:dyDescent="0.2">
      <c r="A20" s="11"/>
      <c r="B20" s="12"/>
      <c r="C20" s="13"/>
      <c r="D20" s="14"/>
      <c r="E20" s="14"/>
      <c r="F20" s="15"/>
      <c r="G20" s="16"/>
      <c r="H20" s="17"/>
      <c r="I20" s="18"/>
      <c r="J20" s="13"/>
      <c r="K20" s="16"/>
      <c r="L20" s="13"/>
      <c r="M20" s="13"/>
      <c r="N20" s="13"/>
      <c r="O20" s="18"/>
      <c r="P20" s="13"/>
      <c r="Q20" s="14"/>
      <c r="R20" s="27"/>
    </row>
    <row r="21" spans="1:18" x14ac:dyDescent="0.2">
      <c r="A21" s="11"/>
      <c r="B21" s="12"/>
      <c r="C21" s="13"/>
      <c r="D21" s="14"/>
      <c r="E21" s="14"/>
      <c r="F21" s="15"/>
      <c r="G21" s="16"/>
      <c r="H21" s="17"/>
      <c r="I21" s="18"/>
      <c r="J21" s="13"/>
      <c r="K21" s="16"/>
      <c r="L21" s="13"/>
      <c r="M21" s="13"/>
      <c r="N21" s="13"/>
      <c r="O21" s="18"/>
      <c r="P21" s="13"/>
      <c r="Q21" s="14"/>
      <c r="R21" s="27"/>
    </row>
    <row r="22" spans="1:18" x14ac:dyDescent="0.2">
      <c r="A22" s="11"/>
      <c r="B22" s="12"/>
      <c r="C22" s="13"/>
      <c r="D22" s="14"/>
      <c r="E22" s="14"/>
      <c r="F22" s="15"/>
      <c r="G22" s="16"/>
      <c r="H22" s="17"/>
      <c r="I22" s="18"/>
      <c r="J22" s="13"/>
      <c r="K22" s="16"/>
      <c r="L22" s="13"/>
      <c r="M22" s="13"/>
      <c r="N22" s="13"/>
      <c r="O22" s="18"/>
      <c r="P22" s="13"/>
      <c r="Q22" s="14"/>
      <c r="R22" s="27"/>
    </row>
    <row r="23" spans="1:18" x14ac:dyDescent="0.2">
      <c r="A23" s="11"/>
      <c r="B23" s="12"/>
      <c r="C23" s="13"/>
      <c r="D23" s="14"/>
      <c r="E23" s="14"/>
      <c r="F23" s="15"/>
      <c r="G23" s="16"/>
      <c r="H23" s="17"/>
      <c r="I23" s="18"/>
      <c r="J23" s="13"/>
      <c r="K23" s="16"/>
      <c r="L23" s="13"/>
      <c r="M23" s="13"/>
      <c r="N23" s="13"/>
      <c r="O23" s="18"/>
      <c r="P23" s="13"/>
      <c r="Q23" s="14"/>
      <c r="R23" s="27"/>
    </row>
    <row r="24" spans="1:18" x14ac:dyDescent="0.2">
      <c r="A24" s="11"/>
      <c r="B24" s="12"/>
      <c r="C24" s="13"/>
      <c r="D24" s="14"/>
      <c r="E24" s="14"/>
      <c r="F24" s="15"/>
      <c r="G24" s="16"/>
      <c r="H24" s="17"/>
      <c r="I24" s="18"/>
      <c r="J24" s="13"/>
      <c r="K24" s="16"/>
      <c r="L24" s="13"/>
      <c r="M24" s="13"/>
      <c r="N24" s="13"/>
      <c r="O24" s="18"/>
      <c r="P24" s="13"/>
      <c r="Q24" s="14"/>
      <c r="R24" s="27"/>
    </row>
  </sheetData>
  <mergeCells count="4">
    <mergeCell ref="F1:I1"/>
    <mergeCell ref="F3:I3"/>
    <mergeCell ref="J3:L3"/>
    <mergeCell ref="O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0998-AF5A-4EEB-A459-895E84AB56E1}">
  <sheetPr codeName="Foglio6"/>
  <dimension ref="A1:T24"/>
  <sheetViews>
    <sheetView workbookViewId="0">
      <selection activeCell="I18" sqref="I18"/>
    </sheetView>
  </sheetViews>
  <sheetFormatPr defaultRowHeight="12.75" x14ac:dyDescent="0.2"/>
  <cols>
    <col min="1" max="1" width="22" customWidth="1"/>
    <col min="2" max="2" width="21.5703125" bestFit="1" customWidth="1"/>
    <col min="3" max="3" width="15.5703125" bestFit="1" customWidth="1"/>
    <col min="4" max="4" width="8.140625" bestFit="1" customWidth="1"/>
    <col min="6" max="6" width="30.85546875" bestFit="1" customWidth="1"/>
    <col min="7" max="7" width="11.5703125" bestFit="1" customWidth="1"/>
    <col min="8" max="8" width="28.28515625" bestFit="1" customWidth="1"/>
    <col min="9" max="9" width="11.42578125" bestFit="1" customWidth="1"/>
    <col min="10" max="10" width="10.7109375" bestFit="1" customWidth="1"/>
    <col min="14" max="14" width="15.5703125" bestFit="1" customWidth="1"/>
    <col min="15" max="15" width="12.85546875" customWidth="1"/>
    <col min="16" max="16" width="13.42578125" customWidth="1"/>
  </cols>
  <sheetData>
    <row r="1" spans="1:20" ht="18" x14ac:dyDescent="0.2">
      <c r="A1" s="1"/>
      <c r="B1" s="1"/>
      <c r="C1" s="1"/>
      <c r="D1" s="1"/>
      <c r="E1" s="1"/>
      <c r="F1" s="112" t="str" cm="1">
        <f t="array" ref="F1">'Milano-Venezia SL'!F1:F1</f>
        <v>Direzione Operativa Infrastratture Territoriale VE</v>
      </c>
      <c r="G1" s="112"/>
      <c r="H1" s="112"/>
      <c r="I1" s="112"/>
      <c r="J1" s="1"/>
      <c r="K1" s="1"/>
      <c r="L1" s="1"/>
      <c r="M1" s="1"/>
      <c r="P1" s="1"/>
      <c r="Q1" s="1"/>
      <c r="R1" s="1"/>
    </row>
    <row r="2" spans="1:2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  <c r="Q2" s="1"/>
      <c r="R2" s="1"/>
    </row>
    <row r="3" spans="1:20" ht="18" x14ac:dyDescent="0.25">
      <c r="D3" s="1"/>
      <c r="E3" s="3"/>
      <c r="F3" s="113" t="s">
        <v>1</v>
      </c>
      <c r="G3" s="113"/>
      <c r="H3" s="113"/>
      <c r="I3" s="113"/>
      <c r="J3" s="114" t="s">
        <v>2</v>
      </c>
      <c r="K3" s="114"/>
      <c r="L3" s="114"/>
      <c r="M3" s="1"/>
      <c r="N3" s="41" t="s">
        <v>3</v>
      </c>
      <c r="O3" s="115">
        <v>45786</v>
      </c>
      <c r="P3" s="116"/>
      <c r="Q3" s="1"/>
      <c r="R3" s="1"/>
    </row>
    <row r="4" spans="1:20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  <c r="Q4" s="1"/>
      <c r="R4" s="1"/>
    </row>
    <row r="5" spans="1:20" ht="18" x14ac:dyDescent="0.25">
      <c r="A5" s="2" t="s">
        <v>4</v>
      </c>
      <c r="B5" s="7">
        <f ca="1">'Milano-Venezia SL'!$B$5</f>
        <v>46244</v>
      </c>
      <c r="C5" s="8"/>
      <c r="D5" s="8"/>
      <c r="E5" s="8"/>
      <c r="F5" s="8"/>
      <c r="G5" s="6"/>
      <c r="H5" s="5"/>
      <c r="I5" s="1"/>
      <c r="J5" s="1"/>
      <c r="K5" s="1"/>
      <c r="L5" s="1"/>
      <c r="M5" s="1"/>
      <c r="P5" s="1"/>
      <c r="Q5" s="1"/>
      <c r="R5" s="1"/>
    </row>
    <row r="6" spans="1:20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  <c r="Q6" s="1"/>
      <c r="R6" s="1"/>
    </row>
    <row r="7" spans="1:20" ht="13.5" thickBo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0" ht="26.25" thickBot="1" x14ac:dyDescent="0.25">
      <c r="A8" s="19" t="s">
        <v>112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20" ht="33.75" x14ac:dyDescent="0.2">
      <c r="A9" s="42" t="s">
        <v>6</v>
      </c>
      <c r="B9" s="43" t="s">
        <v>7</v>
      </c>
      <c r="C9" s="42" t="s">
        <v>8</v>
      </c>
      <c r="D9" s="43" t="s">
        <v>9</v>
      </c>
      <c r="E9" s="43" t="s">
        <v>10</v>
      </c>
      <c r="F9" s="42" t="s">
        <v>11</v>
      </c>
      <c r="G9" s="42" t="s">
        <v>42</v>
      </c>
      <c r="H9" s="43" t="s">
        <v>13</v>
      </c>
      <c r="I9" s="110" t="s">
        <v>14</v>
      </c>
      <c r="J9" s="43" t="s">
        <v>15</v>
      </c>
      <c r="K9" s="43" t="s">
        <v>16</v>
      </c>
      <c r="L9" s="42" t="s">
        <v>17</v>
      </c>
      <c r="M9" s="44" t="s">
        <v>18</v>
      </c>
      <c r="N9" s="44" t="s">
        <v>19</v>
      </c>
      <c r="O9" s="45" t="s">
        <v>20</v>
      </c>
      <c r="P9" s="46" t="s">
        <v>21</v>
      </c>
      <c r="Q9" s="45" t="s">
        <v>22</v>
      </c>
      <c r="R9" s="47" t="s">
        <v>23</v>
      </c>
    </row>
    <row r="10" spans="1:20" x14ac:dyDescent="0.2">
      <c r="A10" s="78" t="s">
        <v>113</v>
      </c>
      <c r="B10" s="78" t="s">
        <v>114</v>
      </c>
      <c r="C10" s="13" t="s">
        <v>36</v>
      </c>
      <c r="D10" s="14" t="s">
        <v>115</v>
      </c>
      <c r="E10" s="14" t="s">
        <v>116</v>
      </c>
      <c r="F10" s="15" t="s">
        <v>117</v>
      </c>
      <c r="G10" s="79" t="s">
        <v>29</v>
      </c>
      <c r="H10" s="78" t="s">
        <v>118</v>
      </c>
      <c r="I10" s="79" t="s">
        <v>31</v>
      </c>
      <c r="J10" s="80">
        <v>45709</v>
      </c>
      <c r="K10" s="81">
        <v>0.4375</v>
      </c>
      <c r="L10" s="79"/>
      <c r="M10" s="82"/>
      <c r="N10" s="82"/>
      <c r="O10" s="78"/>
      <c r="P10" s="39"/>
      <c r="Q10" s="37"/>
      <c r="R10" s="37"/>
    </row>
    <row r="11" spans="1:20" x14ac:dyDescent="0.2">
      <c r="A11" s="78" t="s">
        <v>113</v>
      </c>
      <c r="B11" s="78" t="s">
        <v>114</v>
      </c>
      <c r="C11" s="13" t="s">
        <v>36</v>
      </c>
      <c r="D11" s="14" t="s">
        <v>119</v>
      </c>
      <c r="E11" s="14" t="s">
        <v>120</v>
      </c>
      <c r="F11" s="15" t="s">
        <v>121</v>
      </c>
      <c r="G11" s="79" t="s">
        <v>29</v>
      </c>
      <c r="H11" s="78" t="s">
        <v>118</v>
      </c>
      <c r="I11" s="79" t="s">
        <v>31</v>
      </c>
      <c r="J11" s="80">
        <v>45709</v>
      </c>
      <c r="K11" s="81">
        <v>0.4375</v>
      </c>
      <c r="L11" s="13"/>
      <c r="M11" s="13"/>
      <c r="N11" s="13"/>
      <c r="O11" s="18"/>
      <c r="P11" s="13"/>
      <c r="Q11" s="14"/>
      <c r="R11" s="27"/>
    </row>
    <row r="12" spans="1:20" x14ac:dyDescent="0.2">
      <c r="A12" s="78"/>
      <c r="B12" s="78"/>
      <c r="C12" s="13"/>
      <c r="D12" s="14"/>
      <c r="E12" s="14"/>
      <c r="F12" s="15"/>
      <c r="G12" s="79"/>
      <c r="H12" s="79"/>
      <c r="I12" s="79"/>
      <c r="J12" s="80"/>
      <c r="K12" s="81"/>
      <c r="L12" s="13"/>
      <c r="M12" s="13"/>
      <c r="N12" s="13"/>
      <c r="O12" s="13"/>
      <c r="P12" s="13"/>
      <c r="Q12" s="56"/>
      <c r="R12" s="57"/>
      <c r="T12" t="s">
        <v>32</v>
      </c>
    </row>
    <row r="13" spans="1:20" ht="15" x14ac:dyDescent="0.2">
      <c r="A13" s="48"/>
      <c r="B13" s="28"/>
      <c r="C13" s="28"/>
      <c r="D13" s="28"/>
      <c r="E13" s="28"/>
      <c r="F13" s="28"/>
      <c r="G13" s="28"/>
      <c r="H13" s="28"/>
      <c r="I13" s="28"/>
      <c r="J13" s="28"/>
      <c r="K13" s="49"/>
      <c r="L13" s="50"/>
      <c r="M13" s="13"/>
      <c r="N13" s="13"/>
      <c r="O13" s="18"/>
      <c r="P13" s="13"/>
      <c r="Q13" s="14"/>
      <c r="R13" s="27"/>
    </row>
    <row r="14" spans="1:20" x14ac:dyDescent="0.2">
      <c r="A14" s="11"/>
      <c r="B14" s="12"/>
      <c r="C14" s="13"/>
      <c r="D14" s="14"/>
      <c r="E14" s="14"/>
      <c r="F14" s="15"/>
      <c r="G14" s="16"/>
      <c r="H14" s="17"/>
      <c r="I14" s="18"/>
      <c r="J14" s="13"/>
      <c r="K14" s="16"/>
      <c r="L14" s="13"/>
      <c r="M14" s="13"/>
      <c r="N14" s="13"/>
      <c r="O14" s="18"/>
      <c r="P14" s="13"/>
      <c r="Q14" s="14"/>
      <c r="R14" s="27"/>
    </row>
    <row r="15" spans="1:20" x14ac:dyDescent="0.2">
      <c r="A15" s="11"/>
      <c r="B15" s="12"/>
      <c r="C15" s="13"/>
      <c r="D15" s="14"/>
      <c r="E15" s="14"/>
      <c r="F15" s="15"/>
      <c r="G15" s="16"/>
      <c r="H15" s="17"/>
      <c r="I15" s="18"/>
      <c r="J15" s="13"/>
      <c r="K15" s="16"/>
      <c r="L15" s="13"/>
      <c r="M15" s="13"/>
      <c r="N15" s="13"/>
      <c r="O15" s="18"/>
      <c r="P15" s="13"/>
      <c r="Q15" s="14"/>
      <c r="R15" s="27"/>
    </row>
    <row r="16" spans="1:20" x14ac:dyDescent="0.2">
      <c r="A16" s="11"/>
      <c r="B16" s="12"/>
      <c r="C16" s="13"/>
      <c r="D16" s="14"/>
      <c r="E16" s="14"/>
      <c r="F16" s="15"/>
      <c r="G16" s="16"/>
      <c r="H16" s="17"/>
      <c r="I16" s="18"/>
      <c r="J16" s="13"/>
      <c r="K16" s="16"/>
      <c r="L16" s="13"/>
      <c r="M16" s="13"/>
      <c r="N16" s="13"/>
      <c r="O16" s="18"/>
      <c r="P16" s="13"/>
      <c r="Q16" s="14"/>
      <c r="R16" s="27"/>
    </row>
    <row r="17" spans="1:18" x14ac:dyDescent="0.2">
      <c r="A17" s="11"/>
      <c r="B17" s="12"/>
      <c r="C17" s="13"/>
      <c r="D17" s="14"/>
      <c r="E17" s="14"/>
      <c r="F17" s="15"/>
      <c r="G17" s="16"/>
      <c r="H17" s="17"/>
      <c r="I17" s="18"/>
      <c r="J17" s="13"/>
      <c r="K17" s="16"/>
      <c r="L17" s="13"/>
      <c r="M17" s="13"/>
      <c r="N17" s="13"/>
      <c r="O17" s="18"/>
      <c r="P17" s="13"/>
      <c r="Q17" s="14"/>
      <c r="R17" s="27"/>
    </row>
    <row r="18" spans="1:18" x14ac:dyDescent="0.2">
      <c r="A18" s="11"/>
      <c r="B18" s="12"/>
      <c r="C18" s="13"/>
      <c r="D18" s="14"/>
      <c r="E18" s="14"/>
      <c r="F18" s="15"/>
      <c r="G18" s="16"/>
      <c r="H18" s="17"/>
      <c r="I18" s="18"/>
      <c r="J18" s="13"/>
      <c r="K18" s="16"/>
      <c r="L18" s="13"/>
      <c r="M18" s="13"/>
      <c r="N18" s="13"/>
      <c r="O18" s="18"/>
      <c r="P18" s="13"/>
      <c r="Q18" s="14"/>
      <c r="R18" s="27"/>
    </row>
    <row r="19" spans="1:18" x14ac:dyDescent="0.2">
      <c r="A19" s="11"/>
      <c r="B19" s="12"/>
      <c r="C19" s="13"/>
      <c r="D19" s="14"/>
      <c r="E19" s="14"/>
      <c r="F19" s="15"/>
      <c r="G19" s="16"/>
      <c r="H19" s="17"/>
      <c r="I19" s="18"/>
      <c r="J19" s="13"/>
      <c r="K19" s="16"/>
      <c r="L19" s="13"/>
      <c r="M19" s="13"/>
      <c r="N19" s="13"/>
      <c r="O19" s="18"/>
      <c r="P19" s="13"/>
      <c r="Q19" s="14"/>
      <c r="R19" s="27"/>
    </row>
    <row r="20" spans="1:18" x14ac:dyDescent="0.2">
      <c r="A20" s="11"/>
      <c r="B20" s="12"/>
      <c r="C20" s="13"/>
      <c r="D20" s="14"/>
      <c r="E20" s="14"/>
      <c r="F20" s="15"/>
      <c r="G20" s="16"/>
      <c r="H20" s="17"/>
      <c r="I20" s="18"/>
      <c r="J20" s="13"/>
      <c r="K20" s="16"/>
      <c r="L20" s="13"/>
      <c r="M20" s="13"/>
      <c r="N20" s="13"/>
      <c r="O20" s="18"/>
      <c r="P20" s="13"/>
      <c r="Q20" s="14"/>
      <c r="R20" s="27"/>
    </row>
    <row r="21" spans="1:18" x14ac:dyDescent="0.2">
      <c r="A21" s="11"/>
      <c r="B21" s="12"/>
      <c r="C21" s="13"/>
      <c r="D21" s="14"/>
      <c r="E21" s="14"/>
      <c r="F21" s="15"/>
      <c r="G21" s="16"/>
      <c r="H21" s="17"/>
      <c r="I21" s="18"/>
      <c r="J21" s="13"/>
      <c r="K21" s="16"/>
      <c r="L21" s="13"/>
      <c r="M21" s="13"/>
      <c r="N21" s="13"/>
      <c r="O21" s="18"/>
      <c r="P21" s="13"/>
      <c r="Q21" s="14"/>
      <c r="R21" s="27"/>
    </row>
    <row r="22" spans="1:18" x14ac:dyDescent="0.2">
      <c r="A22" s="11"/>
      <c r="B22" s="12"/>
      <c r="C22" s="13"/>
      <c r="D22" s="14"/>
      <c r="E22" s="14"/>
      <c r="F22" s="15"/>
      <c r="G22" s="16"/>
      <c r="H22" s="17"/>
      <c r="I22" s="18"/>
      <c r="J22" s="13"/>
      <c r="K22" s="16"/>
      <c r="L22" s="13"/>
      <c r="M22" s="13"/>
      <c r="N22" s="13"/>
      <c r="O22" s="18"/>
      <c r="P22" s="13"/>
      <c r="Q22" s="14"/>
      <c r="R22" s="27"/>
    </row>
    <row r="23" spans="1:18" x14ac:dyDescent="0.2">
      <c r="A23" s="11"/>
      <c r="B23" s="12"/>
      <c r="C23" s="13"/>
      <c r="D23" s="14"/>
      <c r="E23" s="14"/>
      <c r="F23" s="15"/>
      <c r="G23" s="16"/>
      <c r="H23" s="17"/>
      <c r="I23" s="18"/>
      <c r="J23" s="13"/>
      <c r="K23" s="16"/>
      <c r="L23" s="13"/>
      <c r="M23" s="13"/>
      <c r="N23" s="13"/>
      <c r="O23" s="18"/>
      <c r="P23" s="13"/>
      <c r="Q23" s="14"/>
      <c r="R23" s="27"/>
    </row>
    <row r="24" spans="1:18" x14ac:dyDescent="0.2">
      <c r="A24" s="11"/>
      <c r="B24" s="12"/>
      <c r="C24" s="13"/>
      <c r="D24" s="14"/>
      <c r="E24" s="14"/>
      <c r="F24" s="15"/>
      <c r="G24" s="16"/>
      <c r="H24" s="17"/>
      <c r="I24" s="18"/>
      <c r="J24" s="13"/>
      <c r="K24" s="16"/>
      <c r="L24" s="13"/>
      <c r="M24" s="13"/>
      <c r="N24" s="13"/>
      <c r="O24" s="18"/>
      <c r="P24" s="13"/>
      <c r="Q24" s="14"/>
      <c r="R24" s="27"/>
    </row>
  </sheetData>
  <mergeCells count="4">
    <mergeCell ref="F1:I1"/>
    <mergeCell ref="F3:I3"/>
    <mergeCell ref="J3:L3"/>
    <mergeCell ref="O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531E-3D79-4E25-9321-FD2EFCA08275}">
  <sheetPr codeName="Foglio3"/>
  <dimension ref="A1:R25"/>
  <sheetViews>
    <sheetView workbookViewId="0">
      <selection activeCell="C8" sqref="C8"/>
    </sheetView>
  </sheetViews>
  <sheetFormatPr defaultRowHeight="12.75" x14ac:dyDescent="0.2"/>
  <cols>
    <col min="1" max="1" width="22" customWidth="1"/>
    <col min="2" max="2" width="20.85546875" bestFit="1" customWidth="1"/>
    <col min="3" max="3" width="15.5703125" bestFit="1" customWidth="1"/>
    <col min="4" max="4" width="8.140625" bestFit="1" customWidth="1"/>
    <col min="6" max="6" width="30.85546875" bestFit="1" customWidth="1"/>
    <col min="7" max="7" width="11.5703125" bestFit="1" customWidth="1"/>
    <col min="8" max="8" width="28.28515625" bestFit="1" customWidth="1"/>
    <col min="9" max="9" width="11.42578125" bestFit="1" customWidth="1"/>
    <col min="10" max="10" width="10.7109375" bestFit="1" customWidth="1"/>
    <col min="14" max="14" width="15.5703125" bestFit="1" customWidth="1"/>
    <col min="15" max="15" width="12.85546875" customWidth="1"/>
    <col min="16" max="16" width="13.42578125" customWidth="1"/>
  </cols>
  <sheetData>
    <row r="1" spans="1:18" ht="18" x14ac:dyDescent="0.2">
      <c r="A1" s="1"/>
      <c r="B1" s="1"/>
      <c r="C1" s="1"/>
      <c r="D1" s="1"/>
      <c r="E1" s="1"/>
      <c r="F1" s="112" t="s">
        <v>122</v>
      </c>
      <c r="G1" s="112"/>
      <c r="H1" s="112"/>
      <c r="I1" s="112"/>
      <c r="J1" s="1"/>
      <c r="K1" s="1"/>
      <c r="L1" s="1"/>
      <c r="M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  <c r="Q2" s="1"/>
      <c r="R2" s="1"/>
    </row>
    <row r="3" spans="1:18" ht="18" x14ac:dyDescent="0.25">
      <c r="D3" s="1"/>
      <c r="E3" s="3"/>
      <c r="F3" s="113" t="s">
        <v>1</v>
      </c>
      <c r="G3" s="113"/>
      <c r="H3" s="113"/>
      <c r="I3" s="113"/>
      <c r="J3" s="4"/>
      <c r="K3" s="1"/>
      <c r="L3" s="1"/>
      <c r="M3" s="1"/>
      <c r="P3" s="1"/>
      <c r="Q3" s="1"/>
      <c r="R3" s="1"/>
    </row>
    <row r="4" spans="1:1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  <c r="Q4" s="1"/>
      <c r="R4" s="1"/>
    </row>
    <row r="5" spans="1:18" ht="18" x14ac:dyDescent="0.25">
      <c r="A5" s="2" t="s">
        <v>4</v>
      </c>
      <c r="B5" s="7">
        <f ca="1">'Milano-Venezia SL'!$B$5</f>
        <v>46244</v>
      </c>
      <c r="C5" s="8"/>
      <c r="D5" s="8"/>
      <c r="E5" s="8"/>
      <c r="F5" s="8"/>
      <c r="G5" s="6"/>
      <c r="H5" s="5"/>
      <c r="I5" s="1"/>
      <c r="J5" s="1"/>
      <c r="K5" s="1"/>
      <c r="L5" s="1"/>
      <c r="M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  <c r="Q6" s="1"/>
      <c r="R6" s="1"/>
    </row>
    <row r="7" spans="1:18" ht="13.5" thickBo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39" thickBot="1" x14ac:dyDescent="0.25">
      <c r="A8" s="19" t="s">
        <v>123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38.25" x14ac:dyDescent="0.2">
      <c r="A9" s="21" t="s">
        <v>6</v>
      </c>
      <c r="B9" s="22" t="s">
        <v>7</v>
      </c>
      <c r="C9" s="21" t="s">
        <v>8</v>
      </c>
      <c r="D9" s="22" t="s">
        <v>9</v>
      </c>
      <c r="E9" s="22" t="s">
        <v>10</v>
      </c>
      <c r="F9" s="21" t="s">
        <v>11</v>
      </c>
      <c r="G9" s="21" t="s">
        <v>42</v>
      </c>
      <c r="H9" s="22" t="s">
        <v>13</v>
      </c>
      <c r="I9" s="21" t="s">
        <v>14</v>
      </c>
      <c r="J9" s="22" t="s">
        <v>15</v>
      </c>
      <c r="K9" s="22" t="s">
        <v>16</v>
      </c>
      <c r="L9" s="21" t="s">
        <v>17</v>
      </c>
      <c r="M9" s="23" t="s">
        <v>18</v>
      </c>
      <c r="N9" s="23" t="s">
        <v>19</v>
      </c>
      <c r="O9" s="24" t="s">
        <v>20</v>
      </c>
      <c r="P9" s="25" t="s">
        <v>21</v>
      </c>
      <c r="Q9" s="24" t="s">
        <v>22</v>
      </c>
      <c r="R9" s="26" t="s">
        <v>23</v>
      </c>
    </row>
    <row r="10" spans="1:18" x14ac:dyDescent="0.2">
      <c r="A10" s="11"/>
      <c r="B10" s="12"/>
      <c r="C10" s="13"/>
      <c r="D10" s="14"/>
      <c r="E10" s="14"/>
      <c r="F10" s="15"/>
      <c r="G10" s="16"/>
      <c r="H10" s="17"/>
      <c r="I10" s="18"/>
      <c r="J10" s="13"/>
      <c r="K10" s="16"/>
      <c r="L10" s="13"/>
      <c r="M10" s="13"/>
      <c r="N10" s="13"/>
      <c r="O10" s="18"/>
      <c r="P10" s="13"/>
      <c r="Q10" s="14"/>
      <c r="R10" s="27"/>
    </row>
    <row r="11" spans="1:18" x14ac:dyDescent="0.2">
      <c r="A11" s="11"/>
      <c r="B11" s="12"/>
      <c r="C11" s="13"/>
      <c r="D11" s="14"/>
      <c r="E11" s="14"/>
      <c r="F11" s="15"/>
      <c r="G11" s="16"/>
      <c r="H11" s="17"/>
      <c r="I11" s="18"/>
      <c r="J11" s="13"/>
      <c r="K11" s="16"/>
      <c r="L11" s="13"/>
      <c r="M11" s="13"/>
      <c r="N11" s="13"/>
      <c r="O11" s="18"/>
      <c r="P11" s="13"/>
      <c r="Q11" s="14"/>
      <c r="R11" s="27"/>
    </row>
    <row r="12" spans="1:18" x14ac:dyDescent="0.2">
      <c r="A12" s="11"/>
      <c r="B12" s="12"/>
      <c r="C12" s="13"/>
      <c r="D12" s="14"/>
      <c r="E12" s="14"/>
      <c r="F12" s="15"/>
      <c r="G12" s="16"/>
      <c r="H12" s="17"/>
      <c r="I12" s="18"/>
      <c r="J12" s="13"/>
      <c r="K12" s="16"/>
      <c r="L12" s="13"/>
      <c r="M12" s="13"/>
      <c r="N12" s="13"/>
      <c r="O12" s="18"/>
      <c r="P12" s="13"/>
      <c r="Q12" s="14"/>
      <c r="R12" s="27"/>
    </row>
    <row r="13" spans="1:18" x14ac:dyDescent="0.2">
      <c r="A13" s="11"/>
      <c r="B13" s="12"/>
      <c r="C13" s="13"/>
      <c r="D13" s="14"/>
      <c r="E13" s="14"/>
      <c r="F13" s="15"/>
      <c r="G13" s="16"/>
      <c r="H13" s="17"/>
      <c r="I13" s="18"/>
      <c r="J13" s="13"/>
      <c r="K13" s="16"/>
      <c r="L13" s="13"/>
      <c r="M13" s="13"/>
      <c r="N13" s="13"/>
      <c r="O13" s="18"/>
      <c r="P13" s="13"/>
      <c r="Q13" s="14"/>
      <c r="R13" s="27"/>
    </row>
    <row r="14" spans="1:18" x14ac:dyDescent="0.2">
      <c r="A14" s="11"/>
      <c r="B14" s="12"/>
      <c r="C14" s="13"/>
      <c r="D14" s="14"/>
      <c r="E14" s="14"/>
      <c r="F14" s="15"/>
      <c r="G14" s="16"/>
      <c r="H14" s="17"/>
      <c r="I14" s="18"/>
      <c r="J14" s="13"/>
      <c r="K14" s="16"/>
      <c r="L14" s="13"/>
      <c r="M14" s="13"/>
      <c r="N14" s="13"/>
      <c r="O14" s="18"/>
      <c r="P14" s="13"/>
      <c r="Q14" s="14"/>
      <c r="R14" s="27"/>
    </row>
    <row r="15" spans="1:18" x14ac:dyDescent="0.2">
      <c r="A15" s="11"/>
      <c r="B15" s="12"/>
      <c r="C15" s="13"/>
      <c r="D15" s="14"/>
      <c r="E15" s="14"/>
      <c r="F15" s="15"/>
      <c r="G15" s="16"/>
      <c r="H15" s="17"/>
      <c r="I15" s="18"/>
      <c r="J15" s="13"/>
      <c r="K15" s="16"/>
      <c r="L15" s="13"/>
      <c r="M15" s="13"/>
      <c r="N15" s="13"/>
      <c r="O15" s="18"/>
      <c r="P15" s="13"/>
      <c r="Q15" s="14"/>
      <c r="R15" s="27"/>
    </row>
    <row r="16" spans="1:18" x14ac:dyDescent="0.2">
      <c r="A16" s="11"/>
      <c r="B16" s="12"/>
      <c r="C16" s="13"/>
      <c r="D16" s="14"/>
      <c r="E16" s="14"/>
      <c r="F16" s="15"/>
      <c r="G16" s="16"/>
      <c r="H16" s="17"/>
      <c r="I16" s="18"/>
      <c r="J16" s="13"/>
      <c r="K16" s="16"/>
      <c r="L16" s="13"/>
      <c r="M16" s="13"/>
      <c r="N16" s="13"/>
      <c r="O16" s="18"/>
      <c r="P16" s="13"/>
      <c r="Q16" s="14"/>
      <c r="R16" s="27"/>
    </row>
    <row r="17" spans="1:18" x14ac:dyDescent="0.2">
      <c r="A17" s="11"/>
      <c r="B17" s="12"/>
      <c r="C17" s="13"/>
      <c r="D17" s="14"/>
      <c r="E17" s="14"/>
      <c r="F17" s="15"/>
      <c r="G17" s="16"/>
      <c r="H17" s="17"/>
      <c r="I17" s="18"/>
      <c r="J17" s="13"/>
      <c r="K17" s="16"/>
      <c r="L17" s="13"/>
      <c r="M17" s="13"/>
      <c r="N17" s="13"/>
      <c r="O17" s="18"/>
      <c r="P17" s="13"/>
      <c r="Q17" s="14"/>
      <c r="R17" s="27"/>
    </row>
    <row r="18" spans="1:18" x14ac:dyDescent="0.2">
      <c r="A18" s="11"/>
      <c r="B18" s="12"/>
      <c r="C18" s="13"/>
      <c r="D18" s="14"/>
      <c r="E18" s="14"/>
      <c r="F18" s="15"/>
      <c r="G18" s="16"/>
      <c r="H18" s="17"/>
      <c r="I18" s="18"/>
      <c r="J18" s="13"/>
      <c r="K18" s="16"/>
      <c r="L18" s="13"/>
      <c r="M18" s="13"/>
      <c r="N18" s="13"/>
      <c r="O18" s="18"/>
      <c r="P18" s="13"/>
      <c r="Q18" s="14"/>
      <c r="R18" s="27"/>
    </row>
    <row r="19" spans="1:18" x14ac:dyDescent="0.2">
      <c r="A19" s="11"/>
      <c r="B19" s="12"/>
      <c r="C19" s="13"/>
      <c r="D19" s="14"/>
      <c r="E19" s="14"/>
      <c r="F19" s="15"/>
      <c r="G19" s="16"/>
      <c r="H19" s="17"/>
      <c r="I19" s="18"/>
      <c r="J19" s="13"/>
      <c r="K19" s="16"/>
      <c r="L19" s="13"/>
      <c r="M19" s="13"/>
      <c r="N19" s="13"/>
      <c r="O19" s="18"/>
      <c r="P19" s="13"/>
      <c r="Q19" s="14"/>
      <c r="R19" s="27"/>
    </row>
    <row r="20" spans="1:18" x14ac:dyDescent="0.2">
      <c r="A20" s="11"/>
      <c r="B20" s="12"/>
      <c r="C20" s="13"/>
      <c r="D20" s="14"/>
      <c r="E20" s="14"/>
      <c r="F20" s="15"/>
      <c r="G20" s="16"/>
      <c r="H20" s="17"/>
      <c r="I20" s="18"/>
      <c r="J20" s="13"/>
      <c r="K20" s="16"/>
      <c r="L20" s="13"/>
      <c r="M20" s="13"/>
      <c r="N20" s="13"/>
      <c r="O20" s="18"/>
      <c r="P20" s="13"/>
      <c r="Q20" s="14"/>
      <c r="R20" s="27"/>
    </row>
    <row r="21" spans="1:18" x14ac:dyDescent="0.2">
      <c r="A21" s="11"/>
      <c r="B21" s="12"/>
      <c r="C21" s="13"/>
      <c r="D21" s="14"/>
      <c r="E21" s="14"/>
      <c r="F21" s="15"/>
      <c r="G21" s="16"/>
      <c r="H21" s="17"/>
      <c r="I21" s="18"/>
      <c r="J21" s="13"/>
      <c r="K21" s="16"/>
      <c r="L21" s="13"/>
      <c r="M21" s="13"/>
      <c r="N21" s="13"/>
      <c r="O21" s="18"/>
      <c r="P21" s="13"/>
      <c r="Q21" s="14"/>
      <c r="R21" s="27"/>
    </row>
    <row r="22" spans="1:18" x14ac:dyDescent="0.2">
      <c r="A22" s="11"/>
      <c r="B22" s="12"/>
      <c r="C22" s="13"/>
      <c r="D22" s="14"/>
      <c r="E22" s="14"/>
      <c r="F22" s="15"/>
      <c r="G22" s="16"/>
      <c r="H22" s="17"/>
      <c r="I22" s="18"/>
      <c r="J22" s="13"/>
      <c r="K22" s="16"/>
      <c r="L22" s="13"/>
      <c r="M22" s="13"/>
      <c r="N22" s="13"/>
      <c r="O22" s="18"/>
      <c r="P22" s="13"/>
      <c r="Q22" s="14"/>
      <c r="R22" s="27"/>
    </row>
    <row r="23" spans="1:18" x14ac:dyDescent="0.2">
      <c r="A23" s="11"/>
      <c r="B23" s="12"/>
      <c r="C23" s="13"/>
      <c r="D23" s="14"/>
      <c r="E23" s="14"/>
      <c r="F23" s="15"/>
      <c r="G23" s="16"/>
      <c r="H23" s="17"/>
      <c r="I23" s="18"/>
      <c r="J23" s="13"/>
      <c r="K23" s="16"/>
      <c r="L23" s="13"/>
      <c r="M23" s="13"/>
      <c r="N23" s="13"/>
      <c r="O23" s="18"/>
      <c r="P23" s="13"/>
      <c r="Q23" s="14"/>
      <c r="R23" s="27"/>
    </row>
    <row r="24" spans="1:18" x14ac:dyDescent="0.2">
      <c r="A24" s="11"/>
      <c r="B24" s="12"/>
      <c r="C24" s="13"/>
      <c r="D24" s="14"/>
      <c r="E24" s="14"/>
      <c r="F24" s="15"/>
      <c r="G24" s="16"/>
      <c r="H24" s="17"/>
      <c r="I24" s="18"/>
      <c r="J24" s="13"/>
      <c r="K24" s="16"/>
      <c r="L24" s="13"/>
      <c r="M24" s="13"/>
      <c r="N24" s="13"/>
      <c r="O24" s="18"/>
      <c r="P24" s="13"/>
      <c r="Q24" s="14"/>
      <c r="R24" s="27"/>
    </row>
    <row r="25" spans="1:18" x14ac:dyDescent="0.2">
      <c r="A25" s="11"/>
      <c r="B25" s="12"/>
      <c r="C25" s="13"/>
      <c r="D25" s="14"/>
      <c r="E25" s="14"/>
      <c r="F25" s="15"/>
      <c r="G25" s="16"/>
      <c r="H25" s="17"/>
      <c r="I25" s="18"/>
      <c r="J25" s="13"/>
      <c r="K25" s="16"/>
      <c r="L25" s="13"/>
      <c r="M25" s="13"/>
      <c r="N25" s="13"/>
      <c r="O25" s="18"/>
      <c r="P25" s="13"/>
      <c r="Q25" s="14"/>
      <c r="R25" s="27"/>
    </row>
  </sheetData>
  <mergeCells count="2">
    <mergeCell ref="F1:I1"/>
    <mergeCell ref="F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63DD-12FD-470B-A620-8D7006AEA3FF}">
  <sheetPr codeName="Foglio4"/>
  <dimension ref="A1:R25"/>
  <sheetViews>
    <sheetView workbookViewId="0">
      <selection activeCell="F1" sqref="F1:I1"/>
    </sheetView>
  </sheetViews>
  <sheetFormatPr defaultRowHeight="12.75" x14ac:dyDescent="0.2"/>
  <cols>
    <col min="1" max="1" width="22" customWidth="1"/>
    <col min="2" max="2" width="20.85546875" bestFit="1" customWidth="1"/>
    <col min="3" max="3" width="15.5703125" bestFit="1" customWidth="1"/>
    <col min="4" max="4" width="8.140625" bestFit="1" customWidth="1"/>
    <col min="6" max="6" width="30.85546875" bestFit="1" customWidth="1"/>
    <col min="7" max="7" width="11.5703125" bestFit="1" customWidth="1"/>
    <col min="8" max="8" width="28.28515625" bestFit="1" customWidth="1"/>
    <col min="9" max="9" width="11.42578125" bestFit="1" customWidth="1"/>
    <col min="10" max="10" width="10.7109375" bestFit="1" customWidth="1"/>
    <col min="14" max="14" width="15.5703125" bestFit="1" customWidth="1"/>
    <col min="15" max="15" width="12.85546875" customWidth="1"/>
    <col min="16" max="16" width="13.42578125" customWidth="1"/>
  </cols>
  <sheetData>
    <row r="1" spans="1:18" ht="18" x14ac:dyDescent="0.2">
      <c r="A1" s="1"/>
      <c r="B1" s="1"/>
      <c r="C1" s="1"/>
      <c r="D1" s="1"/>
      <c r="E1" s="1"/>
      <c r="F1" s="112" t="s">
        <v>122</v>
      </c>
      <c r="G1" s="112"/>
      <c r="H1" s="112"/>
      <c r="I1" s="112"/>
      <c r="J1" s="1"/>
      <c r="K1" s="1"/>
      <c r="L1" s="1"/>
      <c r="M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  <c r="Q2" s="1"/>
      <c r="R2" s="1"/>
    </row>
    <row r="3" spans="1:18" ht="18" x14ac:dyDescent="0.25">
      <c r="D3" s="1"/>
      <c r="E3" s="3"/>
      <c r="F3" s="113" t="s">
        <v>1</v>
      </c>
      <c r="G3" s="113"/>
      <c r="H3" s="113"/>
      <c r="I3" s="113"/>
      <c r="J3" s="4"/>
      <c r="K3" s="1"/>
      <c r="L3" s="1"/>
      <c r="M3" s="1"/>
      <c r="P3" s="1"/>
      <c r="Q3" s="1"/>
      <c r="R3" s="1"/>
    </row>
    <row r="4" spans="1:1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  <c r="Q4" s="1"/>
      <c r="R4" s="1"/>
    </row>
    <row r="5" spans="1:18" ht="18" x14ac:dyDescent="0.25">
      <c r="A5" s="2" t="s">
        <v>4</v>
      </c>
      <c r="B5" s="7">
        <f ca="1">'Milano-Venezia SL'!$B$5</f>
        <v>46244</v>
      </c>
      <c r="C5" s="8"/>
      <c r="D5" s="8"/>
      <c r="E5" s="8"/>
      <c r="F5" s="8"/>
      <c r="G5" s="6"/>
      <c r="H5" s="5"/>
      <c r="I5" s="1"/>
      <c r="J5" s="1"/>
      <c r="K5" s="1"/>
      <c r="L5" s="1"/>
      <c r="M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  <c r="Q6" s="1"/>
      <c r="R6" s="1"/>
    </row>
    <row r="7" spans="1:18" ht="13.5" thickBo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6.25" thickBot="1" x14ac:dyDescent="0.25">
      <c r="A8" s="19" t="s">
        <v>124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38.25" x14ac:dyDescent="0.2">
      <c r="A9" s="21" t="s">
        <v>6</v>
      </c>
      <c r="B9" s="22" t="s">
        <v>7</v>
      </c>
      <c r="C9" s="21" t="s">
        <v>8</v>
      </c>
      <c r="D9" s="22" t="s">
        <v>9</v>
      </c>
      <c r="E9" s="22" t="s">
        <v>10</v>
      </c>
      <c r="F9" s="21" t="s">
        <v>11</v>
      </c>
      <c r="G9" s="21" t="s">
        <v>42</v>
      </c>
      <c r="H9" s="22" t="s">
        <v>13</v>
      </c>
      <c r="I9" s="21" t="s">
        <v>14</v>
      </c>
      <c r="J9" s="22" t="s">
        <v>15</v>
      </c>
      <c r="K9" s="22" t="s">
        <v>16</v>
      </c>
      <c r="L9" s="21" t="s">
        <v>17</v>
      </c>
      <c r="M9" s="23" t="s">
        <v>18</v>
      </c>
      <c r="N9" s="23" t="s">
        <v>19</v>
      </c>
      <c r="O9" s="24" t="s">
        <v>20</v>
      </c>
      <c r="P9" s="25" t="s">
        <v>21</v>
      </c>
      <c r="Q9" s="24" t="s">
        <v>22</v>
      </c>
      <c r="R9" s="26" t="s">
        <v>23</v>
      </c>
    </row>
    <row r="10" spans="1:18" x14ac:dyDescent="0.2">
      <c r="A10" s="11"/>
      <c r="B10" s="12"/>
      <c r="C10" s="13"/>
      <c r="D10" s="14"/>
      <c r="E10" s="14"/>
      <c r="F10" s="15"/>
      <c r="G10" s="16"/>
      <c r="H10" s="17"/>
      <c r="I10" s="18"/>
      <c r="J10" s="13"/>
      <c r="K10" s="16"/>
      <c r="L10" s="13"/>
      <c r="M10" s="13"/>
      <c r="N10" s="13"/>
      <c r="O10" s="18"/>
      <c r="P10" s="13"/>
      <c r="Q10" s="14"/>
      <c r="R10" s="27"/>
    </row>
    <row r="11" spans="1:18" x14ac:dyDescent="0.2">
      <c r="A11" s="11"/>
      <c r="B11" s="12"/>
      <c r="C11" s="13"/>
      <c r="D11" s="14"/>
      <c r="E11" s="14"/>
      <c r="F11" s="15"/>
      <c r="G11" s="16"/>
      <c r="H11" s="17"/>
      <c r="I11" s="18"/>
      <c r="J11" s="13"/>
      <c r="K11" s="16"/>
      <c r="L11" s="13"/>
      <c r="M11" s="13"/>
      <c r="N11" s="13"/>
      <c r="O11" s="18"/>
      <c r="P11" s="13"/>
      <c r="Q11" s="14"/>
      <c r="R11" s="27"/>
    </row>
    <row r="12" spans="1:18" x14ac:dyDescent="0.2">
      <c r="A12" s="11"/>
      <c r="B12" s="12"/>
      <c r="C12" s="13"/>
      <c r="D12" s="14"/>
      <c r="E12" s="14"/>
      <c r="F12" s="15"/>
      <c r="G12" s="16"/>
      <c r="H12" s="17"/>
      <c r="I12" s="18"/>
      <c r="J12" s="13"/>
      <c r="K12" s="16"/>
      <c r="L12" s="13"/>
      <c r="M12" s="13"/>
      <c r="N12" s="13"/>
      <c r="O12" s="18"/>
      <c r="P12" s="13"/>
      <c r="Q12" s="14"/>
      <c r="R12" s="27"/>
    </row>
    <row r="13" spans="1:18" x14ac:dyDescent="0.2">
      <c r="A13" s="11"/>
      <c r="B13" s="12"/>
      <c r="C13" s="13"/>
      <c r="D13" s="14"/>
      <c r="E13" s="14"/>
      <c r="F13" s="15"/>
      <c r="G13" s="16"/>
      <c r="H13" s="17"/>
      <c r="I13" s="18"/>
      <c r="J13" s="13"/>
      <c r="K13" s="16"/>
      <c r="L13" s="13"/>
      <c r="M13" s="13"/>
      <c r="N13" s="13"/>
      <c r="O13" s="18"/>
      <c r="P13" s="13"/>
      <c r="Q13" s="14"/>
      <c r="R13" s="27"/>
    </row>
    <row r="14" spans="1:18" x14ac:dyDescent="0.2">
      <c r="A14" s="11"/>
      <c r="B14" s="12"/>
      <c r="C14" s="13"/>
      <c r="D14" s="14"/>
      <c r="E14" s="14"/>
      <c r="F14" s="15"/>
      <c r="G14" s="16"/>
      <c r="H14" s="17"/>
      <c r="I14" s="18"/>
      <c r="J14" s="13"/>
      <c r="K14" s="16"/>
      <c r="L14" s="13"/>
      <c r="M14" s="13"/>
      <c r="N14" s="13"/>
      <c r="O14" s="18"/>
      <c r="P14" s="13"/>
      <c r="Q14" s="14"/>
      <c r="R14" s="27"/>
    </row>
    <row r="15" spans="1:18" x14ac:dyDescent="0.2">
      <c r="A15" s="11"/>
      <c r="B15" s="12"/>
      <c r="C15" s="13"/>
      <c r="D15" s="14"/>
      <c r="E15" s="14"/>
      <c r="F15" s="15"/>
      <c r="G15" s="16"/>
      <c r="H15" s="17"/>
      <c r="I15" s="18"/>
      <c r="J15" s="13"/>
      <c r="K15" s="16"/>
      <c r="L15" s="13"/>
      <c r="M15" s="13"/>
      <c r="N15" s="13"/>
      <c r="O15" s="18"/>
      <c r="P15" s="13"/>
      <c r="Q15" s="14"/>
      <c r="R15" s="27"/>
    </row>
    <row r="16" spans="1:18" x14ac:dyDescent="0.2">
      <c r="A16" s="11"/>
      <c r="B16" s="12"/>
      <c r="C16" s="13"/>
      <c r="D16" s="14"/>
      <c r="E16" s="14"/>
      <c r="F16" s="15"/>
      <c r="G16" s="16"/>
      <c r="H16" s="17"/>
      <c r="I16" s="18"/>
      <c r="J16" s="13"/>
      <c r="K16" s="16"/>
      <c r="L16" s="13"/>
      <c r="M16" s="13"/>
      <c r="N16" s="13"/>
      <c r="O16" s="18"/>
      <c r="P16" s="13"/>
      <c r="Q16" s="14"/>
      <c r="R16" s="27"/>
    </row>
    <row r="17" spans="1:18" x14ac:dyDescent="0.2">
      <c r="A17" s="11"/>
      <c r="B17" s="12"/>
      <c r="C17" s="13"/>
      <c r="D17" s="14"/>
      <c r="E17" s="14"/>
      <c r="F17" s="15"/>
      <c r="G17" s="16"/>
      <c r="H17" s="17"/>
      <c r="I17" s="18"/>
      <c r="J17" s="13"/>
      <c r="K17" s="16"/>
      <c r="L17" s="13"/>
      <c r="M17" s="13"/>
      <c r="N17" s="13"/>
      <c r="O17" s="18"/>
      <c r="P17" s="13"/>
      <c r="Q17" s="14"/>
      <c r="R17" s="27"/>
    </row>
    <row r="18" spans="1:18" x14ac:dyDescent="0.2">
      <c r="A18" s="11"/>
      <c r="B18" s="12"/>
      <c r="C18" s="13"/>
      <c r="D18" s="14"/>
      <c r="E18" s="14"/>
      <c r="F18" s="15"/>
      <c r="G18" s="16"/>
      <c r="H18" s="17"/>
      <c r="I18" s="18"/>
      <c r="J18" s="13"/>
      <c r="K18" s="16"/>
      <c r="L18" s="13"/>
      <c r="M18" s="13"/>
      <c r="N18" s="13"/>
      <c r="O18" s="18"/>
      <c r="P18" s="13"/>
      <c r="Q18" s="14"/>
      <c r="R18" s="27"/>
    </row>
    <row r="19" spans="1:18" x14ac:dyDescent="0.2">
      <c r="A19" s="11"/>
      <c r="B19" s="12"/>
      <c r="C19" s="13"/>
      <c r="D19" s="14"/>
      <c r="E19" s="14"/>
      <c r="F19" s="15"/>
      <c r="G19" s="16"/>
      <c r="H19" s="17"/>
      <c r="I19" s="18"/>
      <c r="J19" s="13"/>
      <c r="K19" s="16"/>
      <c r="L19" s="13"/>
      <c r="M19" s="13"/>
      <c r="N19" s="13"/>
      <c r="O19" s="18"/>
      <c r="P19" s="13"/>
      <c r="Q19" s="14"/>
      <c r="R19" s="27"/>
    </row>
    <row r="20" spans="1:18" x14ac:dyDescent="0.2">
      <c r="A20" s="11"/>
      <c r="B20" s="12"/>
      <c r="C20" s="13"/>
      <c r="D20" s="14"/>
      <c r="E20" s="14"/>
      <c r="F20" s="15"/>
      <c r="G20" s="16"/>
      <c r="H20" s="17"/>
      <c r="I20" s="18"/>
      <c r="J20" s="13"/>
      <c r="K20" s="16"/>
      <c r="L20" s="13"/>
      <c r="M20" s="13"/>
      <c r="N20" s="13"/>
      <c r="O20" s="18"/>
      <c r="P20" s="13"/>
      <c r="Q20" s="14"/>
      <c r="R20" s="27"/>
    </row>
    <row r="21" spans="1:18" x14ac:dyDescent="0.2">
      <c r="A21" s="11"/>
      <c r="B21" s="12"/>
      <c r="C21" s="13"/>
      <c r="D21" s="14"/>
      <c r="E21" s="14"/>
      <c r="F21" s="15"/>
      <c r="G21" s="16"/>
      <c r="H21" s="17"/>
      <c r="I21" s="18"/>
      <c r="J21" s="13"/>
      <c r="K21" s="16"/>
      <c r="L21" s="13"/>
      <c r="M21" s="13"/>
      <c r="N21" s="13"/>
      <c r="O21" s="18"/>
      <c r="P21" s="13"/>
      <c r="Q21" s="14"/>
      <c r="R21" s="27"/>
    </row>
    <row r="22" spans="1:18" x14ac:dyDescent="0.2">
      <c r="A22" s="11"/>
      <c r="B22" s="12"/>
      <c r="C22" s="13"/>
      <c r="D22" s="14"/>
      <c r="E22" s="14"/>
      <c r="F22" s="15"/>
      <c r="G22" s="16"/>
      <c r="H22" s="17"/>
      <c r="I22" s="18"/>
      <c r="J22" s="13"/>
      <c r="K22" s="16"/>
      <c r="L22" s="13"/>
      <c r="M22" s="13"/>
      <c r="N22" s="13"/>
      <c r="O22" s="18"/>
      <c r="P22" s="13"/>
      <c r="Q22" s="14"/>
      <c r="R22" s="27"/>
    </row>
    <row r="23" spans="1:18" x14ac:dyDescent="0.2">
      <c r="A23" s="11"/>
      <c r="B23" s="12"/>
      <c r="C23" s="13"/>
      <c r="D23" s="14"/>
      <c r="E23" s="14"/>
      <c r="F23" s="15"/>
      <c r="G23" s="16"/>
      <c r="H23" s="17"/>
      <c r="I23" s="18"/>
      <c r="J23" s="13"/>
      <c r="K23" s="16"/>
      <c r="L23" s="13"/>
      <c r="M23" s="13"/>
      <c r="N23" s="13"/>
      <c r="O23" s="18"/>
      <c r="P23" s="13"/>
      <c r="Q23" s="14"/>
      <c r="R23" s="27"/>
    </row>
    <row r="24" spans="1:18" x14ac:dyDescent="0.2">
      <c r="A24" s="11"/>
      <c r="B24" s="12"/>
      <c r="C24" s="13"/>
      <c r="D24" s="14"/>
      <c r="E24" s="14"/>
      <c r="F24" s="15"/>
      <c r="G24" s="16"/>
      <c r="H24" s="17"/>
      <c r="I24" s="18"/>
      <c r="J24" s="13"/>
      <c r="K24" s="16"/>
      <c r="L24" s="13"/>
      <c r="M24" s="13"/>
      <c r="N24" s="13"/>
      <c r="O24" s="18"/>
      <c r="P24" s="13"/>
      <c r="Q24" s="14"/>
      <c r="R24" s="27"/>
    </row>
    <row r="25" spans="1:18" x14ac:dyDescent="0.2">
      <c r="A25" s="11"/>
      <c r="B25" s="12"/>
      <c r="C25" s="13"/>
      <c r="D25" s="14"/>
      <c r="E25" s="14"/>
      <c r="F25" s="15"/>
      <c r="G25" s="16"/>
      <c r="H25" s="17"/>
      <c r="I25" s="18"/>
      <c r="J25" s="13"/>
      <c r="K25" s="16"/>
      <c r="L25" s="13"/>
      <c r="M25" s="13"/>
      <c r="N25" s="13"/>
      <c r="O25" s="18"/>
      <c r="P25" s="13"/>
      <c r="Q25" s="14"/>
      <c r="R25" s="27"/>
    </row>
  </sheetData>
  <mergeCells count="2">
    <mergeCell ref="F1:I1"/>
    <mergeCell ref="F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AA4117-4417-459A-ACB8-CAA250E01A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FFCA01-2B67-4E4D-9495-DB835BD36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61E543-D0F4-4BB9-B8D3-169B0A14ADC0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Milano-Venezia SL</vt:lpstr>
      <vt:lpstr>Bologna-Padova</vt:lpstr>
      <vt:lpstr>Mestre-Quarto</vt:lpstr>
      <vt:lpstr>Mestre-Treviso</vt:lpstr>
      <vt:lpstr>Cervignano-Monfalcone</vt:lpstr>
      <vt:lpstr>PM Vat-Tarvisio BV</vt:lpstr>
    </vt:vector>
  </TitlesOfParts>
  <Manager/>
  <Company>RFI - VRM2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922369</dc:creator>
  <cp:keywords/>
  <dc:description/>
  <cp:lastModifiedBy>ZUIN MATTIA</cp:lastModifiedBy>
  <cp:revision/>
  <dcterms:created xsi:type="dcterms:W3CDTF">2008-06-30T09:43:07Z</dcterms:created>
  <dcterms:modified xsi:type="dcterms:W3CDTF">2026-08-10T08:58:31Z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0x010100A5CA2152BF2C0942B0C819F4B66FBEBD</vt:lpwstr>
  </property>
  <property fmtid="{D5CDD505-2E9C-101B-9397-08002B2CF9AE}" pid="6" name="MSIP_Label_886719c9-282b-4f1b-a005-55ab1b897fee_Enabled">
    <vt:lpwstr>true</vt:lpwstr>
  </property>
  <property fmtid="{D5CDD505-2E9C-101B-9397-08002B2CF9AE}" pid="7" name="MSIP_Label_886719c9-282b-4f1b-a005-55ab1b897fee_SetDate">
    <vt:lpwstr>2023-04-06T07:57:51Z</vt:lpwstr>
  </property>
  <property fmtid="{D5CDD505-2E9C-101B-9397-08002B2CF9AE}" pid="8" name="MSIP_Label_886719c9-282b-4f1b-a005-55ab1b897fee_Method">
    <vt:lpwstr>Privileged</vt:lpwstr>
  </property>
  <property fmtid="{D5CDD505-2E9C-101B-9397-08002B2CF9AE}" pid="9" name="MSIP_Label_886719c9-282b-4f1b-a005-55ab1b897fee_Name">
    <vt:lpwstr>Internal use without protection</vt:lpwstr>
  </property>
  <property fmtid="{D5CDD505-2E9C-101B-9397-08002B2CF9AE}" pid="10" name="MSIP_Label_886719c9-282b-4f1b-a005-55ab1b897fee_SiteId">
    <vt:lpwstr>4c8a6547-459a-4b75-a3dc-f66efe3e9c4e</vt:lpwstr>
  </property>
  <property fmtid="{D5CDD505-2E9C-101B-9397-08002B2CF9AE}" pid="11" name="MSIP_Label_886719c9-282b-4f1b-a005-55ab1b897fee_ActionId">
    <vt:lpwstr>38f995e0-94ef-44d8-8705-264032aede4a</vt:lpwstr>
  </property>
  <property fmtid="{D5CDD505-2E9C-101B-9397-08002B2CF9AE}" pid="12" name="MSIP_Label_886719c9-282b-4f1b-a005-55ab1b897fee_ContentBits">
    <vt:lpwstr>2</vt:lpwstr>
  </property>
  <property fmtid="{D5CDD505-2E9C-101B-9397-08002B2CF9AE}" pid="13" name="Order">
    <vt:r8>129383000</vt:r8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