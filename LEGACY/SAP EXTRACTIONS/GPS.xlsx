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https://gruppofsitaliane.sharepoint.com/sites/RFI3/dtp-ve/AMPC/006 MONITORAGGI/DIFFETTI ARMAMENTO/REPORT/02 Base dati report/"/>
    </mc:Choice>
  </mc:AlternateContent>
  <xr:revisionPtr revIDLastSave="137" documentId="11_0799FDDC2485D1E37CB673374A63F8A577A08A3D" xr6:coauthVersionLast="47" xr6:coauthVersionMax="47" xr10:uidLastSave="{71536D68-FDE4-467D-8715-88E52C100747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Sheet1!$A$1:$Z$325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25" i="1" l="1"/>
  <c r="Y325" i="1"/>
  <c r="Z324" i="1"/>
  <c r="Y324" i="1"/>
  <c r="Z323" i="1"/>
  <c r="Y323" i="1"/>
  <c r="Z322" i="1"/>
  <c r="Y322" i="1"/>
  <c r="Z321" i="1"/>
  <c r="Y321" i="1"/>
  <c r="Z320" i="1"/>
  <c r="Y320" i="1"/>
  <c r="Z319" i="1"/>
  <c r="Y319" i="1"/>
  <c r="Z318" i="1"/>
  <c r="Y318" i="1"/>
  <c r="Z317" i="1"/>
  <c r="Y317" i="1"/>
  <c r="Z316" i="1"/>
  <c r="Y316" i="1"/>
  <c r="Z315" i="1"/>
  <c r="Y315" i="1"/>
  <c r="Z314" i="1"/>
  <c r="Y314" i="1"/>
  <c r="Z313" i="1"/>
  <c r="Y313" i="1"/>
  <c r="Z312" i="1"/>
  <c r="Y312" i="1"/>
  <c r="Z311" i="1"/>
  <c r="Y311" i="1"/>
  <c r="Z310" i="1"/>
  <c r="Y310" i="1"/>
  <c r="Z309" i="1"/>
  <c r="Y309" i="1"/>
  <c r="Z308" i="1"/>
  <c r="Y308" i="1"/>
  <c r="Z307" i="1"/>
  <c r="Y307" i="1"/>
  <c r="Z306" i="1"/>
  <c r="Y306" i="1"/>
  <c r="Z305" i="1"/>
  <c r="Y305" i="1"/>
  <c r="Z304" i="1"/>
  <c r="Y304" i="1"/>
  <c r="Z303" i="1"/>
  <c r="Y303" i="1"/>
  <c r="Z302" i="1"/>
  <c r="Y302" i="1"/>
  <c r="Y3" i="1"/>
  <c r="Z3" i="1"/>
  <c r="Y4" i="1"/>
  <c r="Z4" i="1"/>
  <c r="Y5" i="1"/>
  <c r="Z5" i="1"/>
  <c r="Y6" i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Y25" i="1"/>
  <c r="Z25" i="1"/>
  <c r="Y26" i="1"/>
  <c r="Z26" i="1"/>
  <c r="Y27" i="1"/>
  <c r="Z27" i="1"/>
  <c r="Y28" i="1"/>
  <c r="Z28" i="1"/>
  <c r="Y29" i="1"/>
  <c r="Z29" i="1"/>
  <c r="Y30" i="1"/>
  <c r="Z30" i="1"/>
  <c r="Y31" i="1"/>
  <c r="Z31" i="1"/>
  <c r="Y32" i="1"/>
  <c r="Z32" i="1"/>
  <c r="Y33" i="1"/>
  <c r="Z33" i="1"/>
  <c r="Y34" i="1"/>
  <c r="Z34" i="1"/>
  <c r="Y35" i="1"/>
  <c r="Z35" i="1"/>
  <c r="Y36" i="1"/>
  <c r="Z36" i="1"/>
  <c r="Y37" i="1"/>
  <c r="Z37" i="1"/>
  <c r="Y38" i="1"/>
  <c r="Z38" i="1"/>
  <c r="Y39" i="1"/>
  <c r="Z39" i="1"/>
  <c r="Y40" i="1"/>
  <c r="Z40" i="1"/>
  <c r="Y41" i="1"/>
  <c r="Z41" i="1"/>
  <c r="Y42" i="1"/>
  <c r="Z42" i="1"/>
  <c r="Y43" i="1"/>
  <c r="Z43" i="1"/>
  <c r="Y44" i="1"/>
  <c r="Z44" i="1"/>
  <c r="Y45" i="1"/>
  <c r="Z45" i="1"/>
  <c r="Y46" i="1"/>
  <c r="Z46" i="1"/>
  <c r="Y47" i="1"/>
  <c r="Z47" i="1"/>
  <c r="Y48" i="1"/>
  <c r="Z48" i="1"/>
  <c r="Y49" i="1"/>
  <c r="Z49" i="1"/>
  <c r="Y50" i="1"/>
  <c r="Z50" i="1"/>
  <c r="Y51" i="1"/>
  <c r="Z51" i="1"/>
  <c r="Y52" i="1"/>
  <c r="Z52" i="1"/>
  <c r="Y53" i="1"/>
  <c r="Z53" i="1"/>
  <c r="Y54" i="1"/>
  <c r="Z54" i="1"/>
  <c r="Y55" i="1"/>
  <c r="Z55" i="1"/>
  <c r="Y56" i="1"/>
  <c r="Z56" i="1"/>
  <c r="Y57" i="1"/>
  <c r="Z57" i="1"/>
  <c r="Y58" i="1"/>
  <c r="Z58" i="1"/>
  <c r="Y59" i="1"/>
  <c r="Z59" i="1"/>
  <c r="Y60" i="1"/>
  <c r="Z60" i="1"/>
  <c r="Y61" i="1"/>
  <c r="Z61" i="1"/>
  <c r="Y62" i="1"/>
  <c r="Z62" i="1"/>
  <c r="Y63" i="1"/>
  <c r="Z63" i="1"/>
  <c r="Y64" i="1"/>
  <c r="Z64" i="1"/>
  <c r="Y65" i="1"/>
  <c r="Z65" i="1"/>
  <c r="Y66" i="1"/>
  <c r="Z66" i="1"/>
  <c r="Y67" i="1"/>
  <c r="Z67" i="1"/>
  <c r="Y68" i="1"/>
  <c r="Z68" i="1"/>
  <c r="Y69" i="1"/>
  <c r="Z69" i="1"/>
  <c r="Y70" i="1"/>
  <c r="Z70" i="1"/>
  <c r="Y71" i="1"/>
  <c r="Z71" i="1"/>
  <c r="Y72" i="1"/>
  <c r="Z72" i="1"/>
  <c r="Y73" i="1"/>
  <c r="Z73" i="1"/>
  <c r="Y74" i="1"/>
  <c r="Z74" i="1"/>
  <c r="Y75" i="1"/>
  <c r="Z75" i="1"/>
  <c r="Y76" i="1"/>
  <c r="Z76" i="1"/>
  <c r="Y77" i="1"/>
  <c r="Z77" i="1"/>
  <c r="Y78" i="1"/>
  <c r="Z78" i="1"/>
  <c r="Y79" i="1"/>
  <c r="Z79" i="1"/>
  <c r="Y80" i="1"/>
  <c r="Z80" i="1"/>
  <c r="Y81" i="1"/>
  <c r="Z81" i="1"/>
  <c r="Y82" i="1"/>
  <c r="Z82" i="1"/>
  <c r="Y83" i="1"/>
  <c r="Z83" i="1"/>
  <c r="Y84" i="1"/>
  <c r="Z84" i="1"/>
  <c r="Y85" i="1"/>
  <c r="Z85" i="1"/>
  <c r="Y86" i="1"/>
  <c r="Z86" i="1"/>
  <c r="Y87" i="1"/>
  <c r="Z87" i="1"/>
  <c r="Y88" i="1"/>
  <c r="Z88" i="1"/>
  <c r="Y89" i="1"/>
  <c r="Z89" i="1"/>
  <c r="Y90" i="1"/>
  <c r="Z90" i="1"/>
  <c r="Y91" i="1"/>
  <c r="Z91" i="1"/>
  <c r="Y92" i="1"/>
  <c r="Z92" i="1"/>
  <c r="Y93" i="1"/>
  <c r="Z93" i="1"/>
  <c r="Y94" i="1"/>
  <c r="Z94" i="1"/>
  <c r="Y95" i="1"/>
  <c r="Z95" i="1"/>
  <c r="Y96" i="1"/>
  <c r="Z96" i="1"/>
  <c r="Y97" i="1"/>
  <c r="Z97" i="1"/>
  <c r="Y98" i="1"/>
  <c r="Z98" i="1"/>
  <c r="Y99" i="1"/>
  <c r="Z99" i="1"/>
  <c r="Y100" i="1"/>
  <c r="Z100" i="1"/>
  <c r="Y101" i="1"/>
  <c r="Z101" i="1"/>
  <c r="Y102" i="1"/>
  <c r="Z102" i="1"/>
  <c r="Y103" i="1"/>
  <c r="Z103" i="1"/>
  <c r="Y104" i="1"/>
  <c r="Z104" i="1"/>
  <c r="Y105" i="1"/>
  <c r="Z105" i="1"/>
  <c r="Y106" i="1"/>
  <c r="Z106" i="1"/>
  <c r="Y107" i="1"/>
  <c r="Z107" i="1"/>
  <c r="Y108" i="1"/>
  <c r="Z108" i="1"/>
  <c r="Y109" i="1"/>
  <c r="Z109" i="1"/>
  <c r="Y110" i="1"/>
  <c r="Z110" i="1"/>
  <c r="Y111" i="1"/>
  <c r="Z111" i="1"/>
  <c r="Y112" i="1"/>
  <c r="Z112" i="1"/>
  <c r="Y113" i="1"/>
  <c r="Z113" i="1"/>
  <c r="Y114" i="1"/>
  <c r="Z114" i="1"/>
  <c r="Y115" i="1"/>
  <c r="Z115" i="1"/>
  <c r="Y116" i="1"/>
  <c r="Z116" i="1"/>
  <c r="Y117" i="1"/>
  <c r="Z117" i="1"/>
  <c r="Y118" i="1"/>
  <c r="Z118" i="1"/>
  <c r="Y119" i="1"/>
  <c r="Z119" i="1"/>
  <c r="Y121" i="1"/>
  <c r="Z121" i="1"/>
  <c r="Y122" i="1"/>
  <c r="Z122" i="1"/>
  <c r="Y123" i="1"/>
  <c r="Z123" i="1"/>
  <c r="Y124" i="1"/>
  <c r="Z124" i="1"/>
  <c r="Y125" i="1"/>
  <c r="Z125" i="1"/>
  <c r="Y126" i="1"/>
  <c r="Z126" i="1"/>
  <c r="Y127" i="1"/>
  <c r="Z127" i="1"/>
  <c r="Y128" i="1"/>
  <c r="Z128" i="1"/>
  <c r="Y129" i="1"/>
  <c r="Z129" i="1"/>
  <c r="Y130" i="1"/>
  <c r="Z130" i="1"/>
  <c r="Y131" i="1"/>
  <c r="Z131" i="1"/>
  <c r="Y132" i="1"/>
  <c r="Z132" i="1"/>
  <c r="Y133" i="1"/>
  <c r="Z133" i="1"/>
  <c r="Y134" i="1"/>
  <c r="Z134" i="1"/>
  <c r="Y135" i="1"/>
  <c r="Z135" i="1"/>
  <c r="Y136" i="1"/>
  <c r="Z136" i="1"/>
  <c r="Y137" i="1"/>
  <c r="Z137" i="1"/>
  <c r="Y138" i="1"/>
  <c r="Z138" i="1"/>
  <c r="Y139" i="1"/>
  <c r="Z139" i="1"/>
  <c r="Y140" i="1"/>
  <c r="Z140" i="1"/>
  <c r="Y141" i="1"/>
  <c r="Z141" i="1"/>
  <c r="Y142" i="1"/>
  <c r="Z142" i="1"/>
  <c r="Y143" i="1"/>
  <c r="Z143" i="1"/>
  <c r="Y144" i="1"/>
  <c r="Z144" i="1"/>
  <c r="Y145" i="1"/>
  <c r="Z145" i="1"/>
  <c r="Y146" i="1"/>
  <c r="Z146" i="1"/>
  <c r="Y147" i="1"/>
  <c r="Z147" i="1"/>
  <c r="Y148" i="1"/>
  <c r="Z148" i="1"/>
  <c r="Y149" i="1"/>
  <c r="Z149" i="1"/>
  <c r="Y150" i="1"/>
  <c r="Z150" i="1"/>
  <c r="Y151" i="1"/>
  <c r="Z151" i="1"/>
  <c r="Y152" i="1"/>
  <c r="Z152" i="1"/>
  <c r="Y153" i="1"/>
  <c r="Z153" i="1"/>
  <c r="Y154" i="1"/>
  <c r="Z154" i="1"/>
  <c r="Y155" i="1"/>
  <c r="Z155" i="1"/>
  <c r="Y156" i="1"/>
  <c r="Z156" i="1"/>
  <c r="Y157" i="1"/>
  <c r="Z157" i="1"/>
  <c r="Y158" i="1"/>
  <c r="Z158" i="1"/>
  <c r="Y159" i="1"/>
  <c r="Z159" i="1"/>
  <c r="Y160" i="1"/>
  <c r="Z160" i="1"/>
  <c r="Y161" i="1"/>
  <c r="Z161" i="1"/>
  <c r="Y162" i="1"/>
  <c r="Z162" i="1"/>
  <c r="Y163" i="1"/>
  <c r="Z163" i="1"/>
  <c r="Y164" i="1"/>
  <c r="Z164" i="1"/>
  <c r="Y165" i="1"/>
  <c r="Z165" i="1"/>
  <c r="Y166" i="1"/>
  <c r="Z166" i="1"/>
  <c r="Y167" i="1"/>
  <c r="Z167" i="1"/>
  <c r="Y168" i="1"/>
  <c r="Z168" i="1"/>
  <c r="Y169" i="1"/>
  <c r="Z169" i="1"/>
  <c r="Y171" i="1"/>
  <c r="Z171" i="1"/>
  <c r="Y172" i="1"/>
  <c r="Z172" i="1"/>
  <c r="Y173" i="1"/>
  <c r="Z173" i="1"/>
  <c r="Y174" i="1"/>
  <c r="Z174" i="1"/>
  <c r="Y175" i="1"/>
  <c r="Z175" i="1"/>
  <c r="Y176" i="1"/>
  <c r="Z176" i="1"/>
  <c r="Y177" i="1"/>
  <c r="Z177" i="1"/>
  <c r="Y178" i="1"/>
  <c r="Z178" i="1"/>
  <c r="Y180" i="1"/>
  <c r="Z180" i="1"/>
  <c r="Y181" i="1"/>
  <c r="Z181" i="1"/>
  <c r="Y182" i="1"/>
  <c r="Z182" i="1"/>
  <c r="Y183" i="1"/>
  <c r="Z183" i="1"/>
  <c r="Y184" i="1"/>
  <c r="Z184" i="1"/>
  <c r="Y185" i="1"/>
  <c r="Z185" i="1"/>
  <c r="Y186" i="1"/>
  <c r="Z186" i="1"/>
  <c r="Y187" i="1"/>
  <c r="Z187" i="1"/>
  <c r="Y188" i="1"/>
  <c r="Z188" i="1"/>
  <c r="Y189" i="1"/>
  <c r="Z189" i="1"/>
  <c r="Y190" i="1"/>
  <c r="Z190" i="1"/>
  <c r="Y191" i="1"/>
  <c r="Z191" i="1"/>
  <c r="Y192" i="1"/>
  <c r="Z192" i="1"/>
  <c r="Y193" i="1"/>
  <c r="Z193" i="1"/>
  <c r="Y194" i="1"/>
  <c r="Z194" i="1"/>
  <c r="Y195" i="1"/>
  <c r="Z195" i="1"/>
  <c r="Y196" i="1"/>
  <c r="Z196" i="1"/>
  <c r="Y197" i="1"/>
  <c r="Z197" i="1"/>
  <c r="Y198" i="1"/>
  <c r="Z198" i="1"/>
  <c r="Y199" i="1"/>
  <c r="Z199" i="1"/>
  <c r="Y200" i="1"/>
  <c r="Z200" i="1"/>
  <c r="Y201" i="1"/>
  <c r="Z201" i="1"/>
  <c r="Y202" i="1"/>
  <c r="Z202" i="1"/>
  <c r="Y203" i="1"/>
  <c r="Z203" i="1"/>
  <c r="Y204" i="1"/>
  <c r="Z204" i="1"/>
  <c r="Y205" i="1"/>
  <c r="Z205" i="1"/>
  <c r="Y206" i="1"/>
  <c r="Z206" i="1"/>
  <c r="Y207" i="1"/>
  <c r="Z207" i="1"/>
  <c r="Y208" i="1"/>
  <c r="Z208" i="1"/>
  <c r="Y209" i="1"/>
  <c r="Z209" i="1"/>
  <c r="Y210" i="1"/>
  <c r="Z210" i="1"/>
  <c r="Y211" i="1"/>
  <c r="Z211" i="1"/>
  <c r="Y212" i="1"/>
  <c r="Z212" i="1"/>
  <c r="Y213" i="1"/>
  <c r="Z213" i="1"/>
  <c r="Y214" i="1"/>
  <c r="Z214" i="1"/>
  <c r="Y215" i="1"/>
  <c r="Z215" i="1"/>
  <c r="Y216" i="1"/>
  <c r="Z216" i="1"/>
  <c r="Y217" i="1"/>
  <c r="Z217" i="1"/>
  <c r="Y218" i="1"/>
  <c r="Z218" i="1"/>
  <c r="Y219" i="1"/>
  <c r="Z219" i="1"/>
  <c r="Y220" i="1"/>
  <c r="Z220" i="1"/>
  <c r="Y221" i="1"/>
  <c r="Z221" i="1"/>
  <c r="Y222" i="1"/>
  <c r="Z222" i="1"/>
  <c r="Y223" i="1"/>
  <c r="Z223" i="1"/>
  <c r="Y224" i="1"/>
  <c r="Z224" i="1"/>
  <c r="Y225" i="1"/>
  <c r="Z225" i="1"/>
  <c r="Y226" i="1"/>
  <c r="Z226" i="1"/>
  <c r="Y227" i="1"/>
  <c r="Z227" i="1"/>
  <c r="Y228" i="1"/>
  <c r="Z228" i="1"/>
  <c r="Y229" i="1"/>
  <c r="Z229" i="1"/>
  <c r="Y230" i="1"/>
  <c r="Z230" i="1"/>
  <c r="Y231" i="1"/>
  <c r="Z231" i="1"/>
  <c r="Y232" i="1"/>
  <c r="Z232" i="1"/>
  <c r="Y233" i="1"/>
  <c r="Z233" i="1"/>
  <c r="Y234" i="1"/>
  <c r="Z234" i="1"/>
  <c r="Y235" i="1"/>
  <c r="Z235" i="1"/>
  <c r="Y236" i="1"/>
  <c r="Z236" i="1"/>
  <c r="Y237" i="1"/>
  <c r="Z237" i="1"/>
  <c r="Y238" i="1"/>
  <c r="Z238" i="1"/>
  <c r="Y239" i="1"/>
  <c r="Z239" i="1"/>
  <c r="Y240" i="1"/>
  <c r="Z240" i="1"/>
  <c r="Y241" i="1"/>
  <c r="Z241" i="1"/>
  <c r="Y242" i="1"/>
  <c r="Z242" i="1"/>
  <c r="Y243" i="1"/>
  <c r="Z243" i="1"/>
  <c r="Y244" i="1"/>
  <c r="Z244" i="1"/>
  <c r="Y245" i="1"/>
  <c r="Z245" i="1"/>
  <c r="Y246" i="1"/>
  <c r="Z246" i="1"/>
  <c r="Y247" i="1"/>
  <c r="Z247" i="1"/>
  <c r="Y248" i="1"/>
  <c r="Z248" i="1"/>
  <c r="Y249" i="1"/>
  <c r="Z249" i="1"/>
  <c r="Y250" i="1"/>
  <c r="Z250" i="1"/>
  <c r="Y252" i="1"/>
  <c r="Z252" i="1"/>
  <c r="Y253" i="1"/>
  <c r="Z253" i="1"/>
  <c r="Y254" i="1"/>
  <c r="Z254" i="1"/>
  <c r="Y255" i="1"/>
  <c r="Z255" i="1"/>
  <c r="Y256" i="1"/>
  <c r="Z256" i="1"/>
  <c r="Y257" i="1"/>
  <c r="Z257" i="1"/>
  <c r="Y258" i="1"/>
  <c r="Z258" i="1"/>
  <c r="Y259" i="1"/>
  <c r="Z259" i="1"/>
  <c r="Y260" i="1"/>
  <c r="Z260" i="1"/>
  <c r="Y261" i="1"/>
  <c r="Z261" i="1"/>
  <c r="Y262" i="1"/>
  <c r="Z262" i="1"/>
  <c r="Y263" i="1"/>
  <c r="Z263" i="1"/>
  <c r="Y264" i="1"/>
  <c r="Z264" i="1"/>
  <c r="Y265" i="1"/>
  <c r="Z265" i="1"/>
  <c r="Y266" i="1"/>
  <c r="Z266" i="1"/>
  <c r="Y267" i="1"/>
  <c r="Z267" i="1"/>
  <c r="Y268" i="1"/>
  <c r="Z268" i="1"/>
  <c r="Y269" i="1"/>
  <c r="Z269" i="1"/>
  <c r="Y270" i="1"/>
  <c r="Z270" i="1"/>
  <c r="Y271" i="1"/>
  <c r="Z271" i="1"/>
  <c r="Y272" i="1"/>
  <c r="Z272" i="1"/>
  <c r="Y273" i="1"/>
  <c r="Z273" i="1"/>
  <c r="Y274" i="1"/>
  <c r="Z274" i="1"/>
  <c r="Y275" i="1"/>
  <c r="Z275" i="1"/>
  <c r="Y276" i="1"/>
  <c r="Z276" i="1"/>
  <c r="Y277" i="1"/>
  <c r="Z277" i="1"/>
  <c r="Y278" i="1"/>
  <c r="Z278" i="1"/>
  <c r="Y279" i="1"/>
  <c r="Z279" i="1"/>
  <c r="Y280" i="1"/>
  <c r="Z280" i="1"/>
  <c r="Y281" i="1"/>
  <c r="Z281" i="1"/>
  <c r="Y282" i="1"/>
  <c r="Z282" i="1"/>
  <c r="Y283" i="1"/>
  <c r="Z283" i="1"/>
  <c r="Y285" i="1"/>
  <c r="Z285" i="1"/>
  <c r="Y286" i="1"/>
  <c r="Z286" i="1"/>
  <c r="Y287" i="1"/>
  <c r="Z287" i="1"/>
  <c r="Y288" i="1"/>
  <c r="Z288" i="1"/>
  <c r="Y289" i="1"/>
  <c r="Z289" i="1"/>
  <c r="Y290" i="1"/>
  <c r="Z290" i="1"/>
  <c r="Y291" i="1"/>
  <c r="Z291" i="1"/>
  <c r="Y292" i="1"/>
  <c r="Z292" i="1"/>
  <c r="Y293" i="1"/>
  <c r="Z293" i="1"/>
  <c r="Y294" i="1"/>
  <c r="Z294" i="1"/>
  <c r="Y295" i="1"/>
  <c r="Z295" i="1"/>
  <c r="Y296" i="1"/>
  <c r="Z296" i="1"/>
  <c r="Y297" i="1"/>
  <c r="Z297" i="1"/>
  <c r="Y298" i="1"/>
  <c r="Z298" i="1"/>
  <c r="Y299" i="1"/>
  <c r="Z299" i="1"/>
  <c r="Y300" i="1"/>
  <c r="Z300" i="1"/>
  <c r="Y301" i="1"/>
  <c r="Z301" i="1"/>
  <c r="Z2" i="1"/>
  <c r="Y2" i="1"/>
</calcChain>
</file>

<file path=xl/sharedStrings.xml><?xml version="1.0" encoding="utf-8"?>
<sst xmlns="http://schemas.openxmlformats.org/spreadsheetml/2006/main" count="3867" uniqueCount="714">
  <si>
    <t>LO0364</t>
  </si>
  <si>
    <t>ABANO TERME</t>
  </si>
  <si>
    <t>VEM1</t>
  </si>
  <si>
    <t>CREA</t>
  </si>
  <si>
    <t>ESER IPIC</t>
  </si>
  <si>
    <t>RFC_AGG_CDC</t>
  </si>
  <si>
    <t/>
  </si>
  <si>
    <t>VE00</t>
  </si>
  <si>
    <t>0,000</t>
  </si>
  <si>
    <t>LO0375</t>
  </si>
  <si>
    <t>GRUPPO SCAMBI TREVISO</t>
  </si>
  <si>
    <t>VEM2</t>
  </si>
  <si>
    <t>SMPUSER</t>
  </si>
  <si>
    <t>LO0378</t>
  </si>
  <si>
    <t>ADRIA</t>
  </si>
  <si>
    <t>LO0391</t>
  </si>
  <si>
    <t>ALANO FENER VALDOBBIADENE</t>
  </si>
  <si>
    <t>LO0399</t>
  </si>
  <si>
    <t>ALBAREDO</t>
  </si>
  <si>
    <t>LO0463</t>
  </si>
  <si>
    <t>ARQUA'</t>
  </si>
  <si>
    <t>S_INE_PM</t>
  </si>
  <si>
    <t>LO0503</t>
  </si>
  <si>
    <t>DEV. ESTR. PADOVA</t>
  </si>
  <si>
    <t>952494</t>
  </si>
  <si>
    <t>LO0505</t>
  </si>
  <si>
    <t>DEV. ESTR. CONEGLIANO</t>
  </si>
  <si>
    <t>LO0506</t>
  </si>
  <si>
    <t>DEV. ESTR. VENEZIA</t>
  </si>
  <si>
    <t>LO0512</t>
  </si>
  <si>
    <t>GRUPPO SCAMBI ALTICHIERO</t>
  </si>
  <si>
    <t>S_INE_APM</t>
  </si>
  <si>
    <t>LO0575</t>
  </si>
  <si>
    <t>TREBASELEGHE</t>
  </si>
  <si>
    <t>LO0596</t>
  </si>
  <si>
    <t>BARICETTA</t>
  </si>
  <si>
    <t>LO0602</t>
  </si>
  <si>
    <t>BASSANO DEL GRAPPA</t>
  </si>
  <si>
    <t>LO0608</t>
  </si>
  <si>
    <t>BATTAGLIA TERME</t>
  </si>
  <si>
    <t>LO0625</t>
  </si>
  <si>
    <t>BELLUNO</t>
  </si>
  <si>
    <t>LO0762</t>
  </si>
  <si>
    <t>BUSCHE LENTIAI MEL</t>
  </si>
  <si>
    <t>LO0792</t>
  </si>
  <si>
    <t>CALALZO PIEVE CADORE CORTINA</t>
  </si>
  <si>
    <t>LO0831</t>
  </si>
  <si>
    <t>CAMPODARSEGO</t>
  </si>
  <si>
    <t>LO0842</t>
  </si>
  <si>
    <t>CAMPOSAMPIERO</t>
  </si>
  <si>
    <t>LO0845</t>
  </si>
  <si>
    <t>CANARO</t>
  </si>
  <si>
    <t>LO0904</t>
  </si>
  <si>
    <t>CARMIGNANO DI BRENTA</t>
  </si>
  <si>
    <t>LO0911</t>
  </si>
  <si>
    <t>CARPANE'-VALSTAGNA</t>
  </si>
  <si>
    <t>LO0956</t>
  </si>
  <si>
    <t>CASSOLA</t>
  </si>
  <si>
    <t>LO0957</t>
  </si>
  <si>
    <t>CASTELLO DI GODEGO</t>
  </si>
  <si>
    <t>LO0987</t>
  </si>
  <si>
    <t>CASTELFRANCO VENETO</t>
  </si>
  <si>
    <t>LO1044</t>
  </si>
  <si>
    <t>CAVANELLA D'ADIGE</t>
  </si>
  <si>
    <t>LO1045</t>
  </si>
  <si>
    <t>CAVANELLA PO</t>
  </si>
  <si>
    <t>LO1054</t>
  </si>
  <si>
    <t>CEGGIA</t>
  </si>
  <si>
    <t>LO1064</t>
  </si>
  <si>
    <t>CEREGNANO</t>
  </si>
  <si>
    <t>LO1094</t>
  </si>
  <si>
    <t>CHIOGGIA</t>
  </si>
  <si>
    <t>LO1112</t>
  </si>
  <si>
    <t>CISMON DEL GRAPPA</t>
  </si>
  <si>
    <t>LO1117</t>
  </si>
  <si>
    <t>CITTADELLA</t>
  </si>
  <si>
    <t>LO1132</t>
  </si>
  <si>
    <t>TREVISO PORTA S.QUARANTA</t>
  </si>
  <si>
    <t>LO1163</t>
  </si>
  <si>
    <t>CONEGLIANO</t>
  </si>
  <si>
    <t>LO1165</t>
  </si>
  <si>
    <t>CONFLUENZA UD-TS</t>
  </si>
  <si>
    <t>LO1183</t>
  </si>
  <si>
    <t>CORNUDA</t>
  </si>
  <si>
    <t>LO1251</t>
  </si>
  <si>
    <t>DOLO</t>
  </si>
  <si>
    <t>LO1286</t>
  </si>
  <si>
    <t>FAE'-FORTOGNA</t>
  </si>
  <si>
    <t>LO1295</t>
  </si>
  <si>
    <t>FANZOLO</t>
  </si>
  <si>
    <t>LO1306</t>
  </si>
  <si>
    <t>FELTRE</t>
  </si>
  <si>
    <t>LO1345</t>
  </si>
  <si>
    <t>FONTANIVA</t>
  </si>
  <si>
    <t>LO1360</t>
  </si>
  <si>
    <t>FOSSALTA DI PIAVE</t>
  </si>
  <si>
    <t>LO1376</t>
  </si>
  <si>
    <t>FRATTE CENTRO</t>
  </si>
  <si>
    <t>LO1392</t>
  </si>
  <si>
    <t>GAGGIO PORTA EST</t>
  </si>
  <si>
    <t>LO1398</t>
  </si>
  <si>
    <t>GALLIERA VENETA TOMBOLO</t>
  </si>
  <si>
    <t>LO1464</t>
  </si>
  <si>
    <t>GRISIGNANO DI ZOCCO</t>
  </si>
  <si>
    <t>LO1506</t>
  </si>
  <si>
    <t>ISTRANA</t>
  </si>
  <si>
    <t>LO1526</t>
  </si>
  <si>
    <t>LAMA</t>
  </si>
  <si>
    <t>LO1530</t>
  </si>
  <si>
    <t>LANCENIGO</t>
  </si>
  <si>
    <t>LO1561</t>
  </si>
  <si>
    <t>LERINO</t>
  </si>
  <si>
    <t>LO1567</t>
  </si>
  <si>
    <t>LEVADA</t>
  </si>
  <si>
    <t>LO1579</t>
  </si>
  <si>
    <t>LISIERA</t>
  </si>
  <si>
    <t>LO1580</t>
  </si>
  <si>
    <t>LISON</t>
  </si>
  <si>
    <t>LO1587</t>
  </si>
  <si>
    <t>LONGARONE ZOLDO</t>
  </si>
  <si>
    <t>LO1589</t>
  </si>
  <si>
    <t>LOREO</t>
  </si>
  <si>
    <t>LO1617</t>
  </si>
  <si>
    <t>MAERNE DI MARTELLAGO</t>
  </si>
  <si>
    <t>LO1691</t>
  </si>
  <si>
    <t>MEOLO</t>
  </si>
  <si>
    <t>LO1703</t>
  </si>
  <si>
    <t>MESTRINO</t>
  </si>
  <si>
    <t>LO1738</t>
  </si>
  <si>
    <t>MIRA MIRANO</t>
  </si>
  <si>
    <t>LO1753</t>
  </si>
  <si>
    <t>MOGLIANO VENETO</t>
  </si>
  <si>
    <t>MASTER_RFC</t>
  </si>
  <si>
    <t>LO1776</t>
  </si>
  <si>
    <t>MONSELICE</t>
  </si>
  <si>
    <t>LO1792</t>
  </si>
  <si>
    <t>MONTEBELLUNA</t>
  </si>
  <si>
    <t>LO1904</t>
  </si>
  <si>
    <t>NOALE-SCORZE'</t>
  </si>
  <si>
    <t>LO1955</t>
  </si>
  <si>
    <t>ORSAGO</t>
  </si>
  <si>
    <t>LO1972</t>
  </si>
  <si>
    <t>OSPITALE DI CADORE</t>
  </si>
  <si>
    <t>LO2000</t>
  </si>
  <si>
    <t>PADOVA</t>
  </si>
  <si>
    <t>LO2001</t>
  </si>
  <si>
    <t>PADOVA CAMPO MARTE</t>
  </si>
  <si>
    <t>LO2002</t>
  </si>
  <si>
    <t>PADOVA INTERPORTO</t>
  </si>
  <si>
    <t>935860</t>
  </si>
  <si>
    <t>LO2003</t>
  </si>
  <si>
    <t>PADOVA FASCIO SECONDARIO</t>
  </si>
  <si>
    <t>LO2005</t>
  </si>
  <si>
    <t>PAESE</t>
  </si>
  <si>
    <t>LO2006</t>
  </si>
  <si>
    <t>PAESE CASTAGNOLE</t>
  </si>
  <si>
    <t>LO2081</t>
  </si>
  <si>
    <t>PEDEROBBA CAVASO POSSAGNO</t>
  </si>
  <si>
    <t>LO2082</t>
  </si>
  <si>
    <t>SPINEA</t>
  </si>
  <si>
    <t>LO2083</t>
  </si>
  <si>
    <t>BIVIO/PC SPINEA</t>
  </si>
  <si>
    <t>LO2086</t>
  </si>
  <si>
    <t>PERAROLO DI CADORE</t>
  </si>
  <si>
    <t>LO2126</t>
  </si>
  <si>
    <t>PIANZANO</t>
  </si>
  <si>
    <t>LO2149</t>
  </si>
  <si>
    <t>PIOMBINO DESE</t>
  </si>
  <si>
    <t>LO2197</t>
  </si>
  <si>
    <t>POLESELLA</t>
  </si>
  <si>
    <t>LO2219</t>
  </si>
  <si>
    <t>PONTE NELLE ALPI POLPET</t>
  </si>
  <si>
    <t>LO2261</t>
  </si>
  <si>
    <t>PORTOGRUARO CAORLE</t>
  </si>
  <si>
    <t>LO2265</t>
  </si>
  <si>
    <t>POSTIOMA</t>
  </si>
  <si>
    <t>LO2287</t>
  </si>
  <si>
    <t>PREGANZIOL</t>
  </si>
  <si>
    <t>LO2292</t>
  </si>
  <si>
    <t>PRIMOLANO</t>
  </si>
  <si>
    <t>LO2308</t>
  </si>
  <si>
    <t>QUARTO D'ALTINO</t>
  </si>
  <si>
    <t>LO2311</t>
  </si>
  <si>
    <t>QUERO VAS</t>
  </si>
  <si>
    <t>LO2338</t>
  </si>
  <si>
    <t>RESANA</t>
  </si>
  <si>
    <t>LO2340</t>
  </si>
  <si>
    <t>MESTRE RACCORDO A/P</t>
  </si>
  <si>
    <t>LO2428</t>
  </si>
  <si>
    <t>ROSA'</t>
  </si>
  <si>
    <t>LO2431</t>
  </si>
  <si>
    <t>ROSOLINA</t>
  </si>
  <si>
    <t>LO2433</t>
  </si>
  <si>
    <t>ROSSANO VENETO</t>
  </si>
  <si>
    <t>LO2445</t>
  </si>
  <si>
    <t>ROVIGO</t>
  </si>
  <si>
    <t>LO2460</t>
  </si>
  <si>
    <t>S.ANNA DI CHIOGGIA</t>
  </si>
  <si>
    <t>LO2482</t>
  </si>
  <si>
    <t>S.CROCE DEL LAGO</t>
  </si>
  <si>
    <t>LO2489</t>
  </si>
  <si>
    <t>S.DONA' DI PIAVE-JESOLO</t>
  </si>
  <si>
    <t>LO2491</t>
  </si>
  <si>
    <t>S.ELENA-ESTE</t>
  </si>
  <si>
    <t>LO2508</t>
  </si>
  <si>
    <t>S.GIORGIO DELLE PERTICHE</t>
  </si>
  <si>
    <t>LO2525</t>
  </si>
  <si>
    <t>S.GIUSTINA-CESIO</t>
  </si>
  <si>
    <t>LO2545</t>
  </si>
  <si>
    <t>S.MARINO</t>
  </si>
  <si>
    <t>LO2549</t>
  </si>
  <si>
    <t>S.MARTINO DI LUPARI</t>
  </si>
  <si>
    <t>LO2560</t>
  </si>
  <si>
    <t>S.NAZARIO</t>
  </si>
  <si>
    <t>LO2575</t>
  </si>
  <si>
    <t>S.PIETRO IN GU'</t>
  </si>
  <si>
    <t>LO2592</t>
  </si>
  <si>
    <t>S.STINO DI LIVENZA</t>
  </si>
  <si>
    <t>LO2629</t>
  </si>
  <si>
    <t>SALZANO ROBEGANO</t>
  </si>
  <si>
    <t>LO2687</t>
  </si>
  <si>
    <t>SEDICO BRIBANO</t>
  </si>
  <si>
    <t>LO2747</t>
  </si>
  <si>
    <t>SOFFRATTA</t>
  </si>
  <si>
    <t>LO2748</t>
  </si>
  <si>
    <t>SOLAGNA</t>
  </si>
  <si>
    <t>LO2778</t>
  </si>
  <si>
    <t>SPRESIANO</t>
  </si>
  <si>
    <t>LO2784</t>
  </si>
  <si>
    <t>STANGHELLA</t>
  </si>
  <si>
    <t>LO2785</t>
  </si>
  <si>
    <t>STAZIONE PER L'ALPAGO</t>
  </si>
  <si>
    <t>LO2802</t>
  </si>
  <si>
    <t>SUSEGANA</t>
  </si>
  <si>
    <t>LO2804</t>
  </si>
  <si>
    <t>S.TROVASO</t>
  </si>
  <si>
    <t>LO2829</t>
  </si>
  <si>
    <t>TERME EUGANEE-ABANO-MONTEGROTTO</t>
  </si>
  <si>
    <t>LO2921</t>
  </si>
  <si>
    <t>TREVIGNANO SIGNORESSA</t>
  </si>
  <si>
    <t>LO2922</t>
  </si>
  <si>
    <t>TREVISO CENTRALE</t>
  </si>
  <si>
    <t>LO3000</t>
  </si>
  <si>
    <t>VENEZIA CARPENEDO</t>
  </si>
  <si>
    <t>LO3001</t>
  </si>
  <si>
    <t>VENEZIA MARITTIMA</t>
  </si>
  <si>
    <t>LO3002</t>
  </si>
  <si>
    <t>VENEZIA MESTRE</t>
  </si>
  <si>
    <t>LO3004</t>
  </si>
  <si>
    <t>VENEZIA PORTO MARGHERA</t>
  </si>
  <si>
    <t>LO3005</t>
  </si>
  <si>
    <t>VENEZIA MARGHERA SCALO</t>
  </si>
  <si>
    <t>LO3009</t>
  </si>
  <si>
    <t>VENEZIA S.LUCIA</t>
  </si>
  <si>
    <t>LO3062</t>
  </si>
  <si>
    <t>VIGODARZERE</t>
  </si>
  <si>
    <t>LO3064</t>
  </si>
  <si>
    <t>VIGONZA PIANIGA</t>
  </si>
  <si>
    <t>LO3070</t>
  </si>
  <si>
    <t>VILLA DEL CONTE</t>
  </si>
  <si>
    <t>LO3091</t>
  </si>
  <si>
    <t>BUSA DI VIGONZA</t>
  </si>
  <si>
    <t>LO3118</t>
  </si>
  <si>
    <t>VITTORIO VENETO</t>
  </si>
  <si>
    <t>LO3135</t>
  </si>
  <si>
    <t>ANNONE VENETO</t>
  </si>
  <si>
    <t>LO3379</t>
  </si>
  <si>
    <t>GRUPPO SCAMBI MONTA'</t>
  </si>
  <si>
    <t>LO3403</t>
  </si>
  <si>
    <t>OLMI SPERCENIGO</t>
  </si>
  <si>
    <t>LO3404</t>
  </si>
  <si>
    <t>S.BIAGIO DI CALLALTA</t>
  </si>
  <si>
    <t>LO3405</t>
  </si>
  <si>
    <t>FAGARE'</t>
  </si>
  <si>
    <t>LO3406</t>
  </si>
  <si>
    <t>PONTE DI PIAVE</t>
  </si>
  <si>
    <t>LO3407</t>
  </si>
  <si>
    <t>ODERZO</t>
  </si>
  <si>
    <t>LO3408</t>
  </si>
  <si>
    <t>GORGO AL MONTICANO</t>
  </si>
  <si>
    <t>LO3409</t>
  </si>
  <si>
    <t>MOTTA DI LIVENZA</t>
  </si>
  <si>
    <t>LO3410</t>
  </si>
  <si>
    <t>PRAMAGGIORE</t>
  </si>
  <si>
    <t>LO5421</t>
  </si>
  <si>
    <t>GRUPPO SCAMBI MESTRE</t>
  </si>
  <si>
    <t>LO8716</t>
  </si>
  <si>
    <t>BIVIO MAROCCO</t>
  </si>
  <si>
    <t>LO8719</t>
  </si>
  <si>
    <t>VENEZIA MESTRE OSPEDALE</t>
  </si>
  <si>
    <t>Sede tecnica</t>
  </si>
  <si>
    <t>Definizione della sede tecnica</t>
  </si>
  <si>
    <t>Divis. ubic.</t>
  </si>
  <si>
    <t>Stato sistema</t>
  </si>
  <si>
    <t>Stato utente</t>
  </si>
  <si>
    <t>Km. Inizio</t>
  </si>
  <si>
    <t>Km. Fine</t>
  </si>
  <si>
    <t>Data modifica</t>
  </si>
  <si>
    <t>Autore modifica</t>
  </si>
  <si>
    <t>Centro di lavoro</t>
  </si>
  <si>
    <t>Località</t>
  </si>
  <si>
    <t>In funz. dal</t>
  </si>
  <si>
    <t>Data creazione</t>
  </si>
  <si>
    <t>Divisione pian.</t>
  </si>
  <si>
    <t>Lunghezza</t>
  </si>
  <si>
    <t>Sede tecnica superiore</t>
  </si>
  <si>
    <t>Sede tecnica di riferimento</t>
  </si>
  <si>
    <t>Latitudine Fine</t>
  </si>
  <si>
    <t>Latitudine Inizio</t>
  </si>
  <si>
    <t>Longitudine Fine</t>
  </si>
  <si>
    <t>Altitudine Fine</t>
  </si>
  <si>
    <t>Altitudine Inizio</t>
  </si>
  <si>
    <t>Longitudine Inizio</t>
  </si>
  <si>
    <t>TR0148</t>
  </si>
  <si>
    <t>PADOVA FASCIO SE-GR. SC. VE MESTRE ST</t>
  </si>
  <si>
    <t>TR5422</t>
  </si>
  <si>
    <t>TR0167</t>
  </si>
  <si>
    <t>OSPITALE DI CADORE - LONGARONE ZOLDO</t>
  </si>
  <si>
    <t>TR3120-TR3121</t>
  </si>
  <si>
    <t>TR0360</t>
  </si>
  <si>
    <t>DEV ESTR TREV C.LE - TREVISO C.LE</t>
  </si>
  <si>
    <t>TR0722-TR3174</t>
  </si>
  <si>
    <t>TR0363</t>
  </si>
  <si>
    <t>CONEGLIANO -DEV ESTREM CONEGLIANO</t>
  </si>
  <si>
    <t>TR0364</t>
  </si>
  <si>
    <t>VENEZIA S. LUCIA-DEV VE S. LUCIA (PN)</t>
  </si>
  <si>
    <t>TR0365</t>
  </si>
  <si>
    <t>VENEZIA S. LUCIA-DEV VE S. LUCIA (PV)</t>
  </si>
  <si>
    <t>TR0454</t>
  </si>
  <si>
    <t>PONTE NELLE ALPI - STAZIONE PER L'ALPAGO</t>
  </si>
  <si>
    <t>TR3180-TR3181</t>
  </si>
  <si>
    <t>TR0465</t>
  </si>
  <si>
    <t>TREVISO PSQ - TREVISO C.LE</t>
  </si>
  <si>
    <t>TR0589</t>
  </si>
  <si>
    <t>MESTRE RACCORDO A/P - CONFLUENZA UD-TS</t>
  </si>
  <si>
    <t>TR0591</t>
  </si>
  <si>
    <t>BASSANO DEL GRAPPA-SOLAGNA</t>
  </si>
  <si>
    <t>TR3013-TR3014</t>
  </si>
  <si>
    <t>TR0593</t>
  </si>
  <si>
    <t>MESTRE RACCORDO-GR. SC. VE MESTRE ST</t>
  </si>
  <si>
    <t>TR3087</t>
  </si>
  <si>
    <t>TR0594</t>
  </si>
  <si>
    <t>GR. SC. MESTRE ST - VENEZIA MESTRE (AC)</t>
  </si>
  <si>
    <t>TR5420</t>
  </si>
  <si>
    <t>TR0599</t>
  </si>
  <si>
    <t>VENEZIA CARPENEDO-GAGGIO PORTA EST</t>
  </si>
  <si>
    <t>TR8714</t>
  </si>
  <si>
    <t>TR0676</t>
  </si>
  <si>
    <t>MOTTA DI LIVENZA-ANNONE VENETO</t>
  </si>
  <si>
    <t>TR7844</t>
  </si>
  <si>
    <t>TR0677</t>
  </si>
  <si>
    <t>ANNONE VENETO-PRAMAGGIORE</t>
  </si>
  <si>
    <t>TR0822</t>
  </si>
  <si>
    <t>VITTORIO VENETO - S. CROCE DEL LAGO</t>
  </si>
  <si>
    <t>TR3184-TR3183</t>
  </si>
  <si>
    <t>TR0850</t>
  </si>
  <si>
    <t>GAGGIO PORTA EST-QUARTO D`ALTINO</t>
  </si>
  <si>
    <t>TR3043</t>
  </si>
  <si>
    <t>TR0852</t>
  </si>
  <si>
    <t>PORTOGRUARO C.- LATISANA LIGNANO B.</t>
  </si>
  <si>
    <t>TR3372-TR3373</t>
  </si>
  <si>
    <t>TR0854</t>
  </si>
  <si>
    <t>VENEZIA MESTRE-CONFLUENZA UD-TS (UD)</t>
  </si>
  <si>
    <t>TR1478</t>
  </si>
  <si>
    <t>PIOMBINO DESE-TREBASELEGHE</t>
  </si>
  <si>
    <t>TR3235</t>
  </si>
  <si>
    <t>TR1479</t>
  </si>
  <si>
    <t>TREBASELEGHE-NOALE SCORZE`</t>
  </si>
  <si>
    <t>TR1532</t>
  </si>
  <si>
    <t>MOGLIANO VENETO-BIVIO MAROCCO</t>
  </si>
  <si>
    <t>TR1549</t>
  </si>
  <si>
    <t>TR1533</t>
  </si>
  <si>
    <t>BIVIO MAROCCO-MESTRE OSPEDALE</t>
  </si>
  <si>
    <t>TR1534</t>
  </si>
  <si>
    <t>BIVIO MAROCCO-BIVIO/PC SPINEA</t>
  </si>
  <si>
    <t>TR8715</t>
  </si>
  <si>
    <t>TR1550</t>
  </si>
  <si>
    <t>MESTRE OSPEDALE - VENEZIA MESTRE GAZZERA</t>
  </si>
  <si>
    <t>TR3008</t>
  </si>
  <si>
    <t>PRIMOLANO-CISMON DEL GRAPPA</t>
  </si>
  <si>
    <t>TR3009</t>
  </si>
  <si>
    <t>CISMON DEL GRAPPA-S. MARINO</t>
  </si>
  <si>
    <t>TR3010</t>
  </si>
  <si>
    <t>S. MARINO-CARPANE`VALSTAGNA</t>
  </si>
  <si>
    <t>TR3011</t>
  </si>
  <si>
    <t>CARPANE`VALSTAGNA-S. NAZARIO</t>
  </si>
  <si>
    <t>TR3012</t>
  </si>
  <si>
    <t>S. NAZARIO-SOLAGNA</t>
  </si>
  <si>
    <t>TR3038</t>
  </si>
  <si>
    <t>VENEZIA P.M.-VENEZIA  MESTRE (PV)</t>
  </si>
  <si>
    <t>TR3040</t>
  </si>
  <si>
    <t>CONFLUENZA UD-TS-VENEZIA CARPENEDO</t>
  </si>
  <si>
    <t>TR3044</t>
  </si>
  <si>
    <t>QUARTO D`ALTINO-MEOLO</t>
  </si>
  <si>
    <t>TR3045</t>
  </si>
  <si>
    <t>MEOLO-FOSSALTA DI PIAVE</t>
  </si>
  <si>
    <t>TR3046</t>
  </si>
  <si>
    <t>FOSSALTA DI PIAVE-S. DONA` DI PIAVE</t>
  </si>
  <si>
    <t>TR3047</t>
  </si>
  <si>
    <t>S. DONA` DI PIAVE-CEGGIA</t>
  </si>
  <si>
    <t>TR3048</t>
  </si>
  <si>
    <t>CEGGIA-S. STINO DI LIVENZA</t>
  </si>
  <si>
    <t>TR3049</t>
  </si>
  <si>
    <t>S. STINO DI LIVENZA-LISON</t>
  </si>
  <si>
    <t>TR3050</t>
  </si>
  <si>
    <t>LISON-PORTOGRUARO C.</t>
  </si>
  <si>
    <t>TR3052</t>
  </si>
  <si>
    <t>VENEZIA P.M.-VENEZIA MESTRE (PN)</t>
  </si>
  <si>
    <t>TR3073</t>
  </si>
  <si>
    <t>VICENZA-LERINO</t>
  </si>
  <si>
    <t>TR3074</t>
  </si>
  <si>
    <t>LERINO-GRISIGNANO DI ZOCCO</t>
  </si>
  <si>
    <t>TR3075</t>
  </si>
  <si>
    <t>GRISIGNANO DI ZOCCO-MESTRINO</t>
  </si>
  <si>
    <t>TR3078</t>
  </si>
  <si>
    <t>BUSA DI VIGONZA-VIGONZA PIANIGA</t>
  </si>
  <si>
    <t>TR3079</t>
  </si>
  <si>
    <t>VIGONZA PIANIGA-DOLO</t>
  </si>
  <si>
    <t>TR3080</t>
  </si>
  <si>
    <t>DOLO-MIRA MIRANO</t>
  </si>
  <si>
    <t>TR3090</t>
  </si>
  <si>
    <t>PADOVA -  PADOVA  FASCIO SECONDARIO</t>
  </si>
  <si>
    <t>TR3091</t>
  </si>
  <si>
    <t>PADOVA FASCIO SECOND.-BUSA DI VIGONZA</t>
  </si>
  <si>
    <t>TR3092</t>
  </si>
  <si>
    <t>DEV. EST.PADOVA.-PADOVA INTERPORTO</t>
  </si>
  <si>
    <t>TR3093</t>
  </si>
  <si>
    <t>PADOVA FASCIO SEC.-DEV. EST.PADOVA</t>
  </si>
  <si>
    <t>TR3094</t>
  </si>
  <si>
    <t>MIRA MIRANO - GRUPPO SC. MESTRE ST</t>
  </si>
  <si>
    <t>TR3081-TR3082-TR3083</t>
  </si>
  <si>
    <t>TR3118</t>
  </si>
  <si>
    <t>CALALZO P. C. CORT-PERAROLO DI CADORE</t>
  </si>
  <si>
    <t>TR3119</t>
  </si>
  <si>
    <t>PERAROLO DI CADORE-OSPITALE DI CADORE</t>
  </si>
  <si>
    <t>TR3122</t>
  </si>
  <si>
    <t>LONGARONE ZOLDO-FAE`FORTOGNA</t>
  </si>
  <si>
    <t>TR3123</t>
  </si>
  <si>
    <t>FAE`FORTOGNA-PONTE NELLE ALPI P.</t>
  </si>
  <si>
    <t>TR3124</t>
  </si>
  <si>
    <t>PONTE NELLE ALPI P.-BELLUNO</t>
  </si>
  <si>
    <t>TR3125</t>
  </si>
  <si>
    <t>BELLUNO-SEDICO BRIBANO</t>
  </si>
  <si>
    <t>TR3126</t>
  </si>
  <si>
    <t>SEDICO BRIBANO-S. GIUSTINA CESIO</t>
  </si>
  <si>
    <t>TR3127</t>
  </si>
  <si>
    <t>S. GIUSTINA CESIO-BUSCHE LENTIAI MEL</t>
  </si>
  <si>
    <t>TR3128</t>
  </si>
  <si>
    <t>BUSCHE LENTIAI MEL-FELTRE</t>
  </si>
  <si>
    <t>TR3129</t>
  </si>
  <si>
    <t>FELTRE-QUERO VAS</t>
  </si>
  <si>
    <t>TR3130</t>
  </si>
  <si>
    <t>QUERO VAS-ALANO FENER VAL.</t>
  </si>
  <si>
    <t>TR3131</t>
  </si>
  <si>
    <t>ALANO FENER VAL-PEDEROBBA CAVASO POS.</t>
  </si>
  <si>
    <t>TR3132</t>
  </si>
  <si>
    <t>PEDEROBBA CAVASO POS.-LEVADA</t>
  </si>
  <si>
    <t>TR3133</t>
  </si>
  <si>
    <t>LEVADA-CORNUDA</t>
  </si>
  <si>
    <t>TR3134</t>
  </si>
  <si>
    <t>CORNUDA-MONTEBELLUNA</t>
  </si>
  <si>
    <t>TR3135</t>
  </si>
  <si>
    <t>MONTEBELLUNA-FANZOLO</t>
  </si>
  <si>
    <t>TR3136</t>
  </si>
  <si>
    <t>FANZOLO-CASTELFRANCO V.</t>
  </si>
  <si>
    <t>TR3137</t>
  </si>
  <si>
    <t>CASTELFRANCO V.-CAMPOSAMPIERO</t>
  </si>
  <si>
    <t>TR3138</t>
  </si>
  <si>
    <t>CAMPOSAMPIERO-S. GIORGIO DELLE P.</t>
  </si>
  <si>
    <t>TR3139</t>
  </si>
  <si>
    <t>S. GIORGIO DELLE P.-CAMPODARSEGO</t>
  </si>
  <si>
    <t>TR3140</t>
  </si>
  <si>
    <t>CAMPODARSEGO-VIGODARZERE</t>
  </si>
  <si>
    <t>TR3141</t>
  </si>
  <si>
    <t>VIGODARZERE-GRUPPO SCAMBI ALTICHIERO</t>
  </si>
  <si>
    <t>TR3142</t>
  </si>
  <si>
    <t>GRUPPO SCAMBI ALTICHIERO-PADOVA</t>
  </si>
  <si>
    <t>TR3143</t>
  </si>
  <si>
    <t>GRUPPO SC. ALTICHIERO-PADOVA CAMPO MARTE</t>
  </si>
  <si>
    <t>TR3170</t>
  </si>
  <si>
    <t>MONTEBELLUNA-TREVIGNANO SIGNORESSA</t>
  </si>
  <si>
    <t>TR3171</t>
  </si>
  <si>
    <t>TREVIGNANO SIGNORESSA-POSTIOMA</t>
  </si>
  <si>
    <t>TR3172</t>
  </si>
  <si>
    <t>POSTIOMA-PAESE CASTAGNOLE</t>
  </si>
  <si>
    <t>TR3173</t>
  </si>
  <si>
    <t>PAESE CASTAGNOLE-TREVISO C.</t>
  </si>
  <si>
    <t>TR3182</t>
  </si>
  <si>
    <t>STAZIONE PER L`ALPAGO-S. CROCE DEL LAGO</t>
  </si>
  <si>
    <t>TR3185</t>
  </si>
  <si>
    <t>VITTORIO VENETO-SOFFRATTA</t>
  </si>
  <si>
    <t>TR3195</t>
  </si>
  <si>
    <t>LISIERA-S. PIETRO IN GU`</t>
  </si>
  <si>
    <t>TR3198</t>
  </si>
  <si>
    <t>FONTANIVA-CITTADELLA</t>
  </si>
  <si>
    <t>TR3199</t>
  </si>
  <si>
    <t>CITTADELLA-GALLIERA VENETA</t>
  </si>
  <si>
    <t>TR3200</t>
  </si>
  <si>
    <t>GALLIERA VENETA -S. MARTINO DI LUPARI</t>
  </si>
  <si>
    <t>TR3201</t>
  </si>
  <si>
    <t>S. MARTINO DI LUPARI- CASTELFRANCO V.</t>
  </si>
  <si>
    <t>TR3202</t>
  </si>
  <si>
    <t>CASTELFRANCO VENETO-ALBAREDO</t>
  </si>
  <si>
    <t>TR3203</t>
  </si>
  <si>
    <t>ALBAREDO-ISTRANA</t>
  </si>
  <si>
    <t>TR3204</t>
  </si>
  <si>
    <t>ISTRANA-PAESE</t>
  </si>
  <si>
    <t>TR3205</t>
  </si>
  <si>
    <t>PAESE - TREVISO PSQ</t>
  </si>
  <si>
    <t>TR3218</t>
  </si>
  <si>
    <t>BASSANO DEL GRAPPA-ROSA`</t>
  </si>
  <si>
    <t>TR3219</t>
  </si>
  <si>
    <t>ROSA`-ROSSANO VENETO</t>
  </si>
  <si>
    <t>TR3220</t>
  </si>
  <si>
    <t>ROSSANO VENETO-CITTADELLA</t>
  </si>
  <si>
    <t>TR3221</t>
  </si>
  <si>
    <t>CITTADELLA-VILLA DEL CONTE</t>
  </si>
  <si>
    <t>TR3222</t>
  </si>
  <si>
    <t>VILLA DEL CONTE-FRATTE CENTRO</t>
  </si>
  <si>
    <t>TR3223</t>
  </si>
  <si>
    <t>FRATTE CENTRO-CAMPOSAMPIERO</t>
  </si>
  <si>
    <t>TR3230</t>
  </si>
  <si>
    <t>BASSANO DEL GRAPPA-CASSOLA</t>
  </si>
  <si>
    <t>TR3231</t>
  </si>
  <si>
    <t>CASSOLA-CASTELLO DI GODEGO</t>
  </si>
  <si>
    <t>TR3232</t>
  </si>
  <si>
    <t>CASTELLO DI GODEGO-CASTELFRANCO VENETO</t>
  </si>
  <si>
    <t>TR3233</t>
  </si>
  <si>
    <t>CASTELFRANCO VENETO-RESANA</t>
  </si>
  <si>
    <t>TR3234</t>
  </si>
  <si>
    <t>RESANA-PIOMBINO DESE</t>
  </si>
  <si>
    <t>TR3236</t>
  </si>
  <si>
    <t>NOALE SCORZE`-SALZANO ROBEGANO</t>
  </si>
  <si>
    <t>TR3237</t>
  </si>
  <si>
    <t>SALZANO ROBEGANO-MAERNE DI MARTELLAGO</t>
  </si>
  <si>
    <t>TR3260</t>
  </si>
  <si>
    <t>SACILE-ORSAGO</t>
  </si>
  <si>
    <t>TR3261</t>
  </si>
  <si>
    <t>ORSAGO-PIANZANO</t>
  </si>
  <si>
    <t>TR3263</t>
  </si>
  <si>
    <t>CONEGLIANO-SUSEGANA</t>
  </si>
  <si>
    <t>TR3264</t>
  </si>
  <si>
    <t>SUSEGANA-SPRESIANO</t>
  </si>
  <si>
    <t>TR3265</t>
  </si>
  <si>
    <t>SPRESIANO-LANCENIGO</t>
  </si>
  <si>
    <t>TR3267</t>
  </si>
  <si>
    <t>TR3268</t>
  </si>
  <si>
    <t>PREGANZIOL-MOGLIANO VENETO</t>
  </si>
  <si>
    <t>TR3308</t>
  </si>
  <si>
    <t>S.TROVASO - PREGANZIOL</t>
  </si>
  <si>
    <t>TR3309</t>
  </si>
  <si>
    <t>TREVISO C.LE - S.TROVASO</t>
  </si>
  <si>
    <t>TR4078</t>
  </si>
  <si>
    <t>PADOVA-PADOVA CAMPO MARTE</t>
  </si>
  <si>
    <t>TR4079</t>
  </si>
  <si>
    <t>PADOVA CAMPO MARTE-ABANO TERME</t>
  </si>
  <si>
    <t>TR4080</t>
  </si>
  <si>
    <t>ABANO TERME-TERME EUGANEE</t>
  </si>
  <si>
    <t>TR4081</t>
  </si>
  <si>
    <t>TERME EUGANEE-BATTAGLIA TERME</t>
  </si>
  <si>
    <t>TR4082</t>
  </si>
  <si>
    <t>BATTAGLIA TERME-MONSELICE</t>
  </si>
  <si>
    <t>TR4083</t>
  </si>
  <si>
    <t>MONSELICE-S. ELENA  ESTE</t>
  </si>
  <si>
    <t>TR4084</t>
  </si>
  <si>
    <t>S. ELENA ESTE-STANGHELLA</t>
  </si>
  <si>
    <t>TR4085</t>
  </si>
  <si>
    <t>STANGHELLA-ROVIGO</t>
  </si>
  <si>
    <t>TR4086</t>
  </si>
  <si>
    <t>ROVIGO-ARQUA`</t>
  </si>
  <si>
    <t>TR4087</t>
  </si>
  <si>
    <t>ARQUA`-POLESELLA</t>
  </si>
  <si>
    <t>TR4088</t>
  </si>
  <si>
    <t>POLESELLA-CANARO</t>
  </si>
  <si>
    <t>TR4089</t>
  </si>
  <si>
    <t>CANARO-OCCHIOBELLO</t>
  </si>
  <si>
    <t>TR4134</t>
  </si>
  <si>
    <t>ROVIGO-CEREGNANO</t>
  </si>
  <si>
    <t>TR4135</t>
  </si>
  <si>
    <t>CEREGNANO-LAMA</t>
  </si>
  <si>
    <t>TR4136</t>
  </si>
  <si>
    <t>LAMA-BARICETTA</t>
  </si>
  <si>
    <t>TR4137</t>
  </si>
  <si>
    <t>BARICETTA-ADRIA</t>
  </si>
  <si>
    <t>TR4138</t>
  </si>
  <si>
    <t>ADRIA-CAVANELLA PO</t>
  </si>
  <si>
    <t>TR4139</t>
  </si>
  <si>
    <t>CAVANELLA PO-LOREO</t>
  </si>
  <si>
    <t>TR4140</t>
  </si>
  <si>
    <t>LOREO-ROSOLINA</t>
  </si>
  <si>
    <t>TR4141</t>
  </si>
  <si>
    <t>ROSOLINA-CAVANELLA D`ADIGE</t>
  </si>
  <si>
    <t>TR4142</t>
  </si>
  <si>
    <t>CAVANELLA D`ADIGE-S.ANNA DI CHIOGGIA</t>
  </si>
  <si>
    <t>TR4143</t>
  </si>
  <si>
    <t>S. ANNA DI CHIOGGIA-CHIOGGIA</t>
  </si>
  <si>
    <t>TR5418</t>
  </si>
  <si>
    <t>GRUPPO SC. MESTRE-VENEZIA MESTRE (AD)</t>
  </si>
  <si>
    <t>TR5419</t>
  </si>
  <si>
    <t>GRUPPO SC. MESTRE-VENEZIA MESTRE (TN)</t>
  </si>
  <si>
    <t>TR5421</t>
  </si>
  <si>
    <t>GRUPPO SC. MESTRE ST - VENEZIA MESTRE</t>
  </si>
  <si>
    <t>TR5423</t>
  </si>
  <si>
    <t>PADOVA - PADOVA FASCIO SEC. (AC/AV)</t>
  </si>
  <si>
    <t>TR6824</t>
  </si>
  <si>
    <t>VENEZIA MESTRE-CONFLUENZA UD-TS (TS)</t>
  </si>
  <si>
    <t>TR7239</t>
  </si>
  <si>
    <t>S. PIETRO IN GU`-CARMIGNANO DI BRENTA</t>
  </si>
  <si>
    <t>TR7240</t>
  </si>
  <si>
    <t>CARMIGNANO DI BRENTA-FONTANIVA</t>
  </si>
  <si>
    <t>TR7539</t>
  </si>
  <si>
    <t>GRUPPO SC. MESTRE ST - SPINEA</t>
  </si>
  <si>
    <t>TR7540</t>
  </si>
  <si>
    <t>SPINEA - BIVIO/PC SPINEA</t>
  </si>
  <si>
    <t>TR7541</t>
  </si>
  <si>
    <t>B°/PC SPINEA - MAERNE DI MARTELLAGO</t>
  </si>
  <si>
    <t>TR7643</t>
  </si>
  <si>
    <t>VENEZIA MARITTIMA- DEV ESTR VENEZIA S.LU</t>
  </si>
  <si>
    <t>TR7644</t>
  </si>
  <si>
    <t>VE MESTRE - VE. MARGHERA SCALO</t>
  </si>
  <si>
    <t>TR7645</t>
  </si>
  <si>
    <t>MESTRINO- B° MONTA'</t>
  </si>
  <si>
    <t>TR7647</t>
  </si>
  <si>
    <t>B° MONTA'- PADOVA</t>
  </si>
  <si>
    <t>TR7649</t>
  </si>
  <si>
    <t>B° MONTA'-PADOVA CAMPO MARTE</t>
  </si>
  <si>
    <t>TR7830</t>
  </si>
  <si>
    <t>TREVISO C.LE-OLMI SPERCENIGO</t>
  </si>
  <si>
    <t>TR7832</t>
  </si>
  <si>
    <t>OLMI SPERCENIGO-S. BIAGIO DI CALLALTA</t>
  </si>
  <si>
    <t>TR7834</t>
  </si>
  <si>
    <t>S. BIAGIO DI CALLALTA-FAGARE</t>
  </si>
  <si>
    <t>TR7836</t>
  </si>
  <si>
    <t>FAGARE-PONTE DI PIAVE</t>
  </si>
  <si>
    <t>TR7838</t>
  </si>
  <si>
    <t>PONTE DI PIAVE-ODERZO</t>
  </si>
  <si>
    <t>TR7840</t>
  </si>
  <si>
    <t>ODERZO-GORGO AL MONTICANO</t>
  </si>
  <si>
    <t>TR7842</t>
  </si>
  <si>
    <t>GORGO AL MONTICANO-MOTTA DI LIVENZA</t>
  </si>
  <si>
    <t>TR7846</t>
  </si>
  <si>
    <t>PRAMAGGIORE-PORTOGRUARO C.</t>
  </si>
  <si>
    <t>TR8458</t>
  </si>
  <si>
    <t>PIANZANO-DEV ESTREM CONEGLIANO</t>
  </si>
  <si>
    <t>TR8459</t>
  </si>
  <si>
    <t>LANCENIGO- DEV. ESTR.  TREVISO C.LE</t>
  </si>
  <si>
    <t>TR8483</t>
  </si>
  <si>
    <t>VENEZIA S. LUCIA-VENEZIA P.M.(PN)</t>
  </si>
  <si>
    <t>TR8484</t>
  </si>
  <si>
    <t>DEV ESTR VE S. LUCIA-VENEZIA P.M. (PV)</t>
  </si>
  <si>
    <t>TR8610</t>
  </si>
  <si>
    <t>SOFFRATTA- DEV ESTR CONEGLIANO</t>
  </si>
  <si>
    <t>TR8620</t>
  </si>
  <si>
    <t>DEV ESTR VICENZA-LISIERA</t>
  </si>
  <si>
    <t>Numero</t>
  </si>
  <si>
    <t>Latitudine</t>
  </si>
  <si>
    <t>Longitudine</t>
  </si>
  <si>
    <t>LO1920</t>
  </si>
  <si>
    <t>NOVE</t>
  </si>
  <si>
    <t>SOPP IPIC</t>
  </si>
  <si>
    <t>LO2214</t>
  </si>
  <si>
    <t>PONTE DI BRENTA</t>
  </si>
  <si>
    <t>FUES IPIC</t>
  </si>
  <si>
    <t>LO2952</t>
  </si>
  <si>
    <t>TREVISO SCALO MOTTA</t>
  </si>
  <si>
    <t>TR0722</t>
  </si>
  <si>
    <t>TREVISO C.LE - TREVISO SCALO MOTTA</t>
  </si>
  <si>
    <t>INAT</t>
  </si>
  <si>
    <t>TR3174</t>
  </si>
  <si>
    <t>DEV. ESTR. TREV. C.LE-TREVI. SCALO MOTTA</t>
  </si>
  <si>
    <t>TR3183</t>
  </si>
  <si>
    <t>S. CROCE DEL LAGO-NOVE</t>
  </si>
  <si>
    <t>TR3184</t>
  </si>
  <si>
    <t>NOVE-VITTORIO VENETO</t>
  </si>
  <si>
    <t>CONFLUENZA MI-TN</t>
  </si>
  <si>
    <t>LO1164</t>
  </si>
  <si>
    <t>27.02.2024</t>
  </si>
  <si>
    <t>07.12.2006</t>
  </si>
  <si>
    <t>VE MESTRE CABINA B  SER</t>
  </si>
  <si>
    <t>LO3173</t>
  </si>
  <si>
    <t>03.10.2022</t>
  </si>
  <si>
    <t>MOGLIANO - MESTRE OSPEDALE</t>
  </si>
  <si>
    <t>07.01.2018</t>
  </si>
  <si>
    <t>30.05.2008</t>
  </si>
  <si>
    <t>GAGGIO - QUARTO D`ALTINO</t>
  </si>
  <si>
    <t>14.12.2008</t>
  </si>
  <si>
    <t>PADOVA-PONTE DI BRENTA</t>
  </si>
  <si>
    <t>TR3077</t>
  </si>
  <si>
    <t>MIRA MIRANO - B° MIRANO</t>
  </si>
  <si>
    <t>TR3081</t>
  </si>
  <si>
    <t>B° MIRANO - VE MESTRE CABINA B</t>
  </si>
  <si>
    <t>TR3082</t>
  </si>
  <si>
    <t>VE MESTRE CABINA B - CONFLUENZA MI-TN</t>
  </si>
  <si>
    <t>TR3089</t>
  </si>
  <si>
    <t>PIOMBINO DESE-NOALE SCORZE`</t>
  </si>
  <si>
    <t>TREVISO C.LE-PREGANZIOL</t>
  </si>
  <si>
    <t>PORTOGRUARO C.-FOSSALTA DI PORTOG.</t>
  </si>
  <si>
    <t>TR3372</t>
  </si>
  <si>
    <t>FOSSALTA DI PORTOG.-LATISANA LIGNANO B.</t>
  </si>
  <si>
    <t>TR3373</t>
  </si>
  <si>
    <t>CONFLUENZA MI-TN - VENEZIA MESTRE</t>
  </si>
  <si>
    <t>TR3878</t>
  </si>
  <si>
    <t>MAERNE DI MARTELLAGO-VENEZIA ASSEGGIANO</t>
  </si>
  <si>
    <t>TR7537</t>
  </si>
  <si>
    <t>VENEZIA ASSEGGIANO - CONFLUENZA MI-TN</t>
  </si>
  <si>
    <t>TR7538</t>
  </si>
  <si>
    <t>VENEZIA CARPENEDO - GAGGIO</t>
  </si>
  <si>
    <t>18.04.2007</t>
  </si>
  <si>
    <t>MOGLIANO VENETO-CONFLUENZA UD-TS</t>
  </si>
  <si>
    <t>25.02.2021</t>
  </si>
  <si>
    <t>03/12/2001</t>
  </si>
  <si>
    <t>20/12/1999</t>
  </si>
  <si>
    <t>03/07/2008</t>
  </si>
  <si>
    <t>21/12/1999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</si>
</sst>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0000"/>
  </numFmts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1" applyAlignment="1">
      <alignment vertical="top"/>
    </xf>
    <xf numFmtId="164" fontId="1" fillId="0" borderId="0" xfId="1" applyNumberFormat="1" applyAlignment="1">
      <alignment horizontal="right" vertical="top"/>
    </xf>
    <xf numFmtId="14" fontId="1" fillId="0" borderId="0" xfId="1" applyNumberFormat="1" applyAlignment="1">
      <alignment horizontal="right" vertical="top"/>
    </xf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1" fillId="0" borderId="0" xfId="1" applyNumberFormat="1" applyAlignment="1">
      <alignment vertical="top"/>
    </xf>
    <xf numFmtId="165" fontId="2" fillId="0" borderId="0" xfId="1" applyNumberFormat="1" applyFont="1" applyAlignment="1">
      <alignment vertical="top"/>
    </xf>
  </cellXfs>
  <cellStyles count="2">
    <cellStyle name="Normale" xfId="0" builtinId="0"/>
    <cellStyle name="Normale 3" xfId="1" xr:uid="{D5CEA1B1-2976-45F5-9D27-81F1AF00AB9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outlinePr summaryBelow="0"/>
  </sheetPr>
  <dimension ref="A1:Z325"/>
  <sheetViews>
    <sheetView tabSelected="1" workbookViewId="0"/>
  </sheetViews>
  <sheetFormatPr defaultRowHeight="12.75" x14ac:dyDescent="0.2"/>
  <cols>
    <col min="1" max="1" width="14" bestFit="1" customWidth="1"/>
    <col min="2" max="2" width="33" bestFit="1" customWidth="1"/>
    <col min="3" max="3" width="14" bestFit="1" customWidth="1"/>
    <col min="4" max="4" width="15" bestFit="1" customWidth="1"/>
    <col min="5" max="5" width="14" bestFit="1" customWidth="1"/>
    <col min="6" max="6" width="12" bestFit="1" customWidth="1"/>
    <col min="7" max="7" width="10" bestFit="1" customWidth="1"/>
    <col min="8" max="8" width="15" bestFit="1" customWidth="1"/>
    <col min="9" max="9" width="17" bestFit="1" customWidth="1"/>
    <col min="10" max="10" width="18" bestFit="1" customWidth="1"/>
    <col min="11" max="11" width="10" bestFit="1" customWidth="1"/>
    <col min="12" max="12" width="14" bestFit="1" customWidth="1"/>
    <col min="13" max="13" width="16" bestFit="1" customWidth="1"/>
    <col min="14" max="14" width="6" bestFit="1" customWidth="1"/>
    <col min="15" max="15" width="20" bestFit="1" customWidth="1"/>
    <col min="16" max="16" width="24" bestFit="1" customWidth="1"/>
    <col min="17" max="17" width="29" bestFit="1" customWidth="1"/>
    <col min="18" max="18" width="17" bestFit="1" customWidth="1"/>
    <col min="19" max="19" width="19" bestFit="1" customWidth="1"/>
    <col min="20" max="20" width="18" bestFit="1" customWidth="1"/>
    <col min="21" max="22" width="12.5703125" bestFit="1" customWidth="1"/>
    <col min="23" max="23" width="20" bestFit="1" customWidth="1"/>
    <col min="24" max="24" width="16.7109375" customWidth="1"/>
    <col min="25" max="25" width="24.140625" customWidth="1"/>
    <col min="26" max="26" width="22" customWidth="1"/>
  </cols>
  <sheetData>
    <row r="1" spans="1:26" ht="38.25" x14ac:dyDescent="0.2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2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7" t="s">
        <v>308</v>
      </c>
      <c r="T1" s="1" t="s">
        <v>309</v>
      </c>
      <c r="U1" s="2" t="s">
        <v>310</v>
      </c>
      <c r="V1" s="2" t="s">
        <v>311</v>
      </c>
      <c r="W1" s="1" t="s">
        <v>312</v>
      </c>
      <c r="X1" s="6" t="s">
        <v>654</v>
      </c>
      <c r="Y1" s="6" t="s">
        <v>655</v>
      </c>
      <c r="Z1" s="6" t="s">
        <v>656</v>
      </c>
    </row>
    <row r="2" spans="1:26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>
        <v>113.254</v>
      </c>
      <c r="G2" s="4">
        <v>113.254</v>
      </c>
      <c r="H2" s="5">
        <v>45357</v>
      </c>
      <c r="I2" s="3" t="s">
        <v>5</v>
      </c>
      <c r="J2" s="3" t="s">
        <v>6</v>
      </c>
      <c r="K2" s="3" t="s">
        <v>6</v>
      </c>
      <c r="L2" s="5"/>
      <c r="M2" s="5">
        <v>36514</v>
      </c>
      <c r="N2" s="3" t="s">
        <v>7</v>
      </c>
      <c r="O2" s="3" t="s">
        <v>8</v>
      </c>
      <c r="P2" s="3" t="s">
        <v>6</v>
      </c>
      <c r="Q2" s="3" t="s">
        <v>6</v>
      </c>
      <c r="R2" s="10">
        <v>0</v>
      </c>
      <c r="S2" s="10">
        <v>45.355245689999997</v>
      </c>
      <c r="T2" s="10">
        <v>0</v>
      </c>
      <c r="U2" s="10">
        <v>0</v>
      </c>
      <c r="V2" s="10">
        <v>14.6</v>
      </c>
      <c r="W2" s="10">
        <v>11.811530490000001</v>
      </c>
      <c r="X2">
        <v>0</v>
      </c>
      <c r="Y2" s="10">
        <f>IF(LEFT(A2,2)="TR",(S2+R2)/2,S2)</f>
        <v>45.355245689999997</v>
      </c>
      <c r="Z2" s="10">
        <f>IF(LEFT(A2,2)="TR",(W2+T2)/2,W2)</f>
        <v>11.811530490000001</v>
      </c>
    </row>
    <row r="3" spans="1:26" x14ac:dyDescent="0.2">
      <c r="A3" s="3" t="s">
        <v>9</v>
      </c>
      <c r="B3" s="3" t="s">
        <v>10</v>
      </c>
      <c r="C3" s="3" t="s">
        <v>11</v>
      </c>
      <c r="D3" s="3" t="s">
        <v>3</v>
      </c>
      <c r="E3" s="3" t="s">
        <v>4</v>
      </c>
      <c r="F3" s="4">
        <v>23.352</v>
      </c>
      <c r="G3" s="4">
        <v>23.352</v>
      </c>
      <c r="H3" s="5">
        <v>45644</v>
      </c>
      <c r="I3" s="3" t="s">
        <v>12</v>
      </c>
      <c r="J3" s="3" t="s">
        <v>6</v>
      </c>
      <c r="K3" s="3" t="s">
        <v>6</v>
      </c>
      <c r="L3" s="5">
        <v>39045</v>
      </c>
      <c r="M3" s="5">
        <v>37949</v>
      </c>
      <c r="N3" s="3" t="s">
        <v>7</v>
      </c>
      <c r="O3" s="3" t="s">
        <v>8</v>
      </c>
      <c r="P3" s="3" t="s">
        <v>6</v>
      </c>
      <c r="Q3" s="3" t="s">
        <v>6</v>
      </c>
      <c r="R3" s="10">
        <v>0</v>
      </c>
      <c r="S3" s="10">
        <v>45.675387989999997</v>
      </c>
      <c r="T3" s="10">
        <v>0</v>
      </c>
      <c r="U3" s="10">
        <v>0</v>
      </c>
      <c r="V3" s="10">
        <v>17</v>
      </c>
      <c r="W3" s="10">
        <v>12.25989789</v>
      </c>
      <c r="X3">
        <v>0</v>
      </c>
      <c r="Y3" s="10">
        <f t="shared" ref="Y3:Y66" si="0">IF(LEFT(A3,2)="TR",(S3+R3)/2,S3)</f>
        <v>45.675387989999997</v>
      </c>
      <c r="Z3" s="10">
        <f t="shared" ref="Z3:Z66" si="1">IF(LEFT(A3,2)="TR",(W3+T3)/2,W3)</f>
        <v>12.25989789</v>
      </c>
    </row>
    <row r="4" spans="1:26" x14ac:dyDescent="0.2">
      <c r="A4" s="3" t="s">
        <v>13</v>
      </c>
      <c r="B4" s="3" t="s">
        <v>14</v>
      </c>
      <c r="C4" s="3" t="s">
        <v>2</v>
      </c>
      <c r="D4" s="3" t="s">
        <v>3</v>
      </c>
      <c r="E4" s="3" t="s">
        <v>4</v>
      </c>
      <c r="F4" s="4">
        <v>24.556999999999999</v>
      </c>
      <c r="G4" s="4">
        <v>24.556999999999999</v>
      </c>
      <c r="H4" s="5">
        <v>45427</v>
      </c>
      <c r="I4" s="3" t="s">
        <v>5</v>
      </c>
      <c r="J4" s="3" t="s">
        <v>6</v>
      </c>
      <c r="K4" s="3" t="s">
        <v>6</v>
      </c>
      <c r="L4" s="5"/>
      <c r="M4" s="5">
        <v>36514</v>
      </c>
      <c r="N4" s="3" t="s">
        <v>7</v>
      </c>
      <c r="O4" s="3" t="s">
        <v>8</v>
      </c>
      <c r="P4" s="3" t="s">
        <v>6</v>
      </c>
      <c r="Q4" s="3" t="s">
        <v>6</v>
      </c>
      <c r="R4" s="10">
        <v>0</v>
      </c>
      <c r="S4" s="10">
        <v>45.060572290000003</v>
      </c>
      <c r="T4" s="10">
        <v>0</v>
      </c>
      <c r="U4" s="10">
        <v>0</v>
      </c>
      <c r="V4" s="10">
        <v>0</v>
      </c>
      <c r="W4" s="10">
        <v>12.054238890000001</v>
      </c>
      <c r="X4">
        <v>0</v>
      </c>
      <c r="Y4" s="10">
        <f t="shared" si="0"/>
        <v>45.060572290000003</v>
      </c>
      <c r="Z4" s="10">
        <f t="shared" si="1"/>
        <v>12.054238890000001</v>
      </c>
    </row>
    <row r="5" spans="1:26" x14ac:dyDescent="0.2">
      <c r="A5" s="3" t="s">
        <v>15</v>
      </c>
      <c r="B5" s="3" t="s">
        <v>16</v>
      </c>
      <c r="C5" s="3" t="s">
        <v>11</v>
      </c>
      <c r="D5" s="3" t="s">
        <v>3</v>
      </c>
      <c r="E5" s="3" t="s">
        <v>4</v>
      </c>
      <c r="F5" s="4">
        <v>37.404000000000003</v>
      </c>
      <c r="G5" s="4">
        <v>37.404000000000003</v>
      </c>
      <c r="H5" s="5">
        <v>44881</v>
      </c>
      <c r="I5" s="3" t="s">
        <v>5</v>
      </c>
      <c r="J5" s="3" t="s">
        <v>6</v>
      </c>
      <c r="K5" s="3" t="s">
        <v>6</v>
      </c>
      <c r="L5" s="5"/>
      <c r="M5" s="5">
        <v>36514</v>
      </c>
      <c r="N5" s="3" t="s">
        <v>7</v>
      </c>
      <c r="O5" s="3" t="s">
        <v>8</v>
      </c>
      <c r="P5" s="3" t="s">
        <v>6</v>
      </c>
      <c r="Q5" s="3" t="s">
        <v>6</v>
      </c>
      <c r="R5" s="10">
        <v>0</v>
      </c>
      <c r="S5" s="10">
        <v>45.902277390000002</v>
      </c>
      <c r="T5" s="10">
        <v>0</v>
      </c>
      <c r="U5" s="10">
        <v>0</v>
      </c>
      <c r="V5" s="10">
        <v>182</v>
      </c>
      <c r="W5" s="10">
        <v>11.9445678</v>
      </c>
      <c r="X5">
        <v>0</v>
      </c>
      <c r="Y5" s="10">
        <f t="shared" si="0"/>
        <v>45.902277390000002</v>
      </c>
      <c r="Z5" s="10">
        <f t="shared" si="1"/>
        <v>11.9445678</v>
      </c>
    </row>
    <row r="6" spans="1:26" x14ac:dyDescent="0.2">
      <c r="A6" s="3" t="s">
        <v>17</v>
      </c>
      <c r="B6" s="3" t="s">
        <v>18</v>
      </c>
      <c r="C6" s="3" t="s">
        <v>11</v>
      </c>
      <c r="D6" s="3" t="s">
        <v>3</v>
      </c>
      <c r="E6" s="3" t="s">
        <v>4</v>
      </c>
      <c r="F6" s="4">
        <v>41.808</v>
      </c>
      <c r="G6" s="4">
        <v>41.808</v>
      </c>
      <c r="H6" s="5">
        <v>44111</v>
      </c>
      <c r="I6" s="3" t="s">
        <v>12</v>
      </c>
      <c r="J6" s="3" t="s">
        <v>6</v>
      </c>
      <c r="K6" s="3" t="s">
        <v>6</v>
      </c>
      <c r="L6" s="5"/>
      <c r="M6" s="5">
        <v>36514</v>
      </c>
      <c r="N6" s="3" t="s">
        <v>7</v>
      </c>
      <c r="O6" s="3" t="s">
        <v>8</v>
      </c>
      <c r="P6" s="3" t="s">
        <v>6</v>
      </c>
      <c r="Q6" s="3" t="s">
        <v>6</v>
      </c>
      <c r="R6" s="10">
        <v>0</v>
      </c>
      <c r="S6" s="10">
        <v>45.670255490000002</v>
      </c>
      <c r="T6" s="10">
        <v>0</v>
      </c>
      <c r="U6" s="10">
        <v>0</v>
      </c>
      <c r="V6" s="10">
        <v>35.4</v>
      </c>
      <c r="W6" s="10">
        <v>12.0151162</v>
      </c>
      <c r="X6">
        <v>0</v>
      </c>
      <c r="Y6" s="10">
        <f t="shared" si="0"/>
        <v>45.670255490000002</v>
      </c>
      <c r="Z6" s="10">
        <f t="shared" si="1"/>
        <v>12.0151162</v>
      </c>
    </row>
    <row r="7" spans="1:26" x14ac:dyDescent="0.2">
      <c r="A7" s="3" t="s">
        <v>19</v>
      </c>
      <c r="B7" s="3" t="s">
        <v>20</v>
      </c>
      <c r="C7" s="3" t="s">
        <v>2</v>
      </c>
      <c r="D7" s="3" t="s">
        <v>3</v>
      </c>
      <c r="E7" s="3" t="s">
        <v>4</v>
      </c>
      <c r="F7" s="4">
        <v>70.872</v>
      </c>
      <c r="G7" s="4">
        <v>70.872</v>
      </c>
      <c r="H7" s="5">
        <v>45349</v>
      </c>
      <c r="I7" s="3" t="s">
        <v>21</v>
      </c>
      <c r="J7" s="3" t="s">
        <v>6</v>
      </c>
      <c r="K7" s="3" t="s">
        <v>6</v>
      </c>
      <c r="L7" s="5">
        <v>39059</v>
      </c>
      <c r="M7" s="5">
        <v>36514</v>
      </c>
      <c r="N7" s="3" t="s">
        <v>7</v>
      </c>
      <c r="O7" s="3" t="s">
        <v>8</v>
      </c>
      <c r="P7" s="3" t="s">
        <v>6</v>
      </c>
      <c r="Q7" s="3" t="s">
        <v>6</v>
      </c>
      <c r="R7" s="10">
        <v>0</v>
      </c>
      <c r="S7" s="10">
        <v>45.006468589999997</v>
      </c>
      <c r="T7" s="10">
        <v>0</v>
      </c>
      <c r="U7" s="10">
        <v>0</v>
      </c>
      <c r="V7" s="10">
        <v>5.5</v>
      </c>
      <c r="W7" s="10">
        <v>11.748531890000001</v>
      </c>
      <c r="X7">
        <v>0</v>
      </c>
      <c r="Y7" s="10">
        <f t="shared" si="0"/>
        <v>45.006468589999997</v>
      </c>
      <c r="Z7" s="10">
        <f t="shared" si="1"/>
        <v>11.748531890000001</v>
      </c>
    </row>
    <row r="8" spans="1:26" x14ac:dyDescent="0.2">
      <c r="A8" s="3" t="s">
        <v>22</v>
      </c>
      <c r="B8" s="3" t="s">
        <v>23</v>
      </c>
      <c r="C8" s="3" t="s">
        <v>2</v>
      </c>
      <c r="D8" s="3" t="s">
        <v>3</v>
      </c>
      <c r="E8" s="3" t="s">
        <v>4</v>
      </c>
      <c r="F8" s="4">
        <v>1.115</v>
      </c>
      <c r="G8" s="4">
        <v>1.115</v>
      </c>
      <c r="H8" s="5">
        <v>45421</v>
      </c>
      <c r="I8" s="3" t="s">
        <v>24</v>
      </c>
      <c r="J8" s="3" t="s">
        <v>6</v>
      </c>
      <c r="K8" s="3" t="s">
        <v>6</v>
      </c>
      <c r="L8" s="5">
        <v>39058</v>
      </c>
      <c r="M8" s="5">
        <v>38775</v>
      </c>
      <c r="N8" s="3" t="s">
        <v>7</v>
      </c>
      <c r="O8" s="3" t="s">
        <v>8</v>
      </c>
      <c r="P8" s="3" t="s">
        <v>6</v>
      </c>
      <c r="Q8" s="3" t="s">
        <v>6</v>
      </c>
      <c r="R8" s="10">
        <v>0</v>
      </c>
      <c r="S8" s="10">
        <v>45.416684590000003</v>
      </c>
      <c r="T8" s="10">
        <v>0</v>
      </c>
      <c r="U8" s="10">
        <v>0</v>
      </c>
      <c r="V8" s="10">
        <v>10.6</v>
      </c>
      <c r="W8" s="10">
        <v>11.909453490000001</v>
      </c>
      <c r="X8">
        <v>0</v>
      </c>
      <c r="Y8" s="10">
        <f t="shared" si="0"/>
        <v>45.416684590000003</v>
      </c>
      <c r="Z8" s="10">
        <f t="shared" si="1"/>
        <v>11.909453490000001</v>
      </c>
    </row>
    <row r="9" spans="1:26" x14ac:dyDescent="0.2">
      <c r="A9" s="3" t="s">
        <v>25</v>
      </c>
      <c r="B9" s="3" t="s">
        <v>26</v>
      </c>
      <c r="C9" s="3" t="s">
        <v>11</v>
      </c>
      <c r="D9" s="3" t="s">
        <v>3</v>
      </c>
      <c r="E9" s="3" t="s">
        <v>4</v>
      </c>
      <c r="F9" s="4">
        <v>49.744</v>
      </c>
      <c r="G9" s="4">
        <v>49.744</v>
      </c>
      <c r="H9" s="5">
        <v>45644</v>
      </c>
      <c r="I9" s="3" t="s">
        <v>12</v>
      </c>
      <c r="J9" s="3" t="s">
        <v>6</v>
      </c>
      <c r="K9" s="3" t="s">
        <v>6</v>
      </c>
      <c r="L9" s="5">
        <v>39058</v>
      </c>
      <c r="M9" s="5">
        <v>37949</v>
      </c>
      <c r="N9" s="3" t="s">
        <v>7</v>
      </c>
      <c r="O9" s="3" t="s">
        <v>8</v>
      </c>
      <c r="P9" s="3" t="s">
        <v>6</v>
      </c>
      <c r="Q9" s="3" t="s">
        <v>6</v>
      </c>
      <c r="R9" s="10">
        <v>0</v>
      </c>
      <c r="S9" s="10">
        <v>45.892900990000001</v>
      </c>
      <c r="T9" s="10">
        <v>0</v>
      </c>
      <c r="U9" s="10">
        <v>0</v>
      </c>
      <c r="V9" s="10">
        <v>59.4</v>
      </c>
      <c r="W9" s="10">
        <v>12.320192090000001</v>
      </c>
      <c r="X9">
        <v>0</v>
      </c>
      <c r="Y9" s="10">
        <f t="shared" si="0"/>
        <v>45.892900990000001</v>
      </c>
      <c r="Z9" s="10">
        <f t="shared" si="1"/>
        <v>12.320192090000001</v>
      </c>
    </row>
    <row r="10" spans="1:26" x14ac:dyDescent="0.2">
      <c r="A10" s="3" t="s">
        <v>27</v>
      </c>
      <c r="B10" s="3" t="s">
        <v>28</v>
      </c>
      <c r="C10" s="3" t="s">
        <v>2</v>
      </c>
      <c r="D10" s="3" t="s">
        <v>3</v>
      </c>
      <c r="E10" s="3" t="s">
        <v>4</v>
      </c>
      <c r="F10" s="4">
        <v>0</v>
      </c>
      <c r="G10" s="4">
        <v>0</v>
      </c>
      <c r="H10" s="5">
        <v>45421</v>
      </c>
      <c r="I10" s="3" t="s">
        <v>24</v>
      </c>
      <c r="J10" s="3" t="s">
        <v>6</v>
      </c>
      <c r="K10" s="3" t="s">
        <v>6</v>
      </c>
      <c r="L10" s="5">
        <v>39058</v>
      </c>
      <c r="M10" s="5">
        <v>37949</v>
      </c>
      <c r="N10" s="3" t="s">
        <v>7</v>
      </c>
      <c r="O10" s="3" t="s">
        <v>8</v>
      </c>
      <c r="P10" s="3" t="s">
        <v>6</v>
      </c>
      <c r="Q10" s="3" t="s">
        <v>6</v>
      </c>
      <c r="R10" s="10">
        <v>0</v>
      </c>
      <c r="S10" s="10">
        <v>45.449839590000003</v>
      </c>
      <c r="T10" s="10">
        <v>0</v>
      </c>
      <c r="U10" s="10">
        <v>0</v>
      </c>
      <c r="V10" s="10">
        <v>0</v>
      </c>
      <c r="W10" s="10">
        <v>12.30614059</v>
      </c>
      <c r="X10">
        <v>0</v>
      </c>
      <c r="Y10" s="10">
        <f t="shared" si="0"/>
        <v>45.449839590000003</v>
      </c>
      <c r="Z10" s="10">
        <f t="shared" si="1"/>
        <v>12.30614059</v>
      </c>
    </row>
    <row r="11" spans="1:26" x14ac:dyDescent="0.2">
      <c r="A11" s="3" t="s">
        <v>29</v>
      </c>
      <c r="B11" s="3" t="s">
        <v>30</v>
      </c>
      <c r="C11" s="3" t="s">
        <v>2</v>
      </c>
      <c r="D11" s="3" t="s">
        <v>3</v>
      </c>
      <c r="E11" s="3" t="s">
        <v>4</v>
      </c>
      <c r="F11" s="4">
        <v>45.655000000000001</v>
      </c>
      <c r="G11" s="4">
        <v>45.655000000000001</v>
      </c>
      <c r="H11" s="5">
        <v>45421</v>
      </c>
      <c r="I11" s="3" t="s">
        <v>24</v>
      </c>
      <c r="J11" s="3" t="s">
        <v>6</v>
      </c>
      <c r="K11" s="3" t="s">
        <v>6</v>
      </c>
      <c r="L11" s="5"/>
      <c r="M11" s="5">
        <v>36514</v>
      </c>
      <c r="N11" s="3" t="s">
        <v>7</v>
      </c>
      <c r="O11" s="3" t="s">
        <v>8</v>
      </c>
      <c r="P11" s="3" t="s">
        <v>6</v>
      </c>
      <c r="Q11" s="3" t="s">
        <v>6</v>
      </c>
      <c r="R11" s="10">
        <v>0</v>
      </c>
      <c r="S11" s="10">
        <v>45.427068990000002</v>
      </c>
      <c r="T11" s="10">
        <v>0</v>
      </c>
      <c r="U11" s="10">
        <v>0</v>
      </c>
      <c r="V11" s="10">
        <v>12.1</v>
      </c>
      <c r="W11" s="10">
        <v>11.872274089999999</v>
      </c>
      <c r="X11">
        <v>0</v>
      </c>
      <c r="Y11" s="10">
        <f t="shared" si="0"/>
        <v>45.427068990000002</v>
      </c>
      <c r="Z11" s="10">
        <f t="shared" si="1"/>
        <v>11.872274089999999</v>
      </c>
    </row>
    <row r="12" spans="1:26" x14ac:dyDescent="0.2">
      <c r="A12" s="3" t="s">
        <v>32</v>
      </c>
      <c r="B12" s="3" t="s">
        <v>33</v>
      </c>
      <c r="C12" s="3" t="s">
        <v>11</v>
      </c>
      <c r="D12" s="3" t="s">
        <v>3</v>
      </c>
      <c r="E12" s="3" t="s">
        <v>4</v>
      </c>
      <c r="F12" s="4">
        <v>18.879000000000001</v>
      </c>
      <c r="G12" s="4">
        <v>18.879000000000001</v>
      </c>
      <c r="H12" s="5">
        <v>45349</v>
      </c>
      <c r="I12" s="3" t="s">
        <v>21</v>
      </c>
      <c r="J12" s="3" t="s">
        <v>6</v>
      </c>
      <c r="K12" s="3" t="s">
        <v>6</v>
      </c>
      <c r="L12" s="5">
        <v>38595</v>
      </c>
      <c r="M12" s="5">
        <v>38758</v>
      </c>
      <c r="N12" s="3" t="s">
        <v>7</v>
      </c>
      <c r="O12" s="3" t="s">
        <v>8</v>
      </c>
      <c r="P12" s="3" t="s">
        <v>6</v>
      </c>
      <c r="Q12" s="3" t="s">
        <v>6</v>
      </c>
      <c r="R12" s="10">
        <v>0</v>
      </c>
      <c r="S12" s="10">
        <v>45.579757989999997</v>
      </c>
      <c r="T12" s="10">
        <v>0</v>
      </c>
      <c r="U12" s="10">
        <v>0</v>
      </c>
      <c r="V12" s="10">
        <v>20.2</v>
      </c>
      <c r="W12" s="10">
        <v>12.03886859</v>
      </c>
      <c r="X12">
        <v>0</v>
      </c>
      <c r="Y12" s="10">
        <f t="shared" si="0"/>
        <v>45.579757989999997</v>
      </c>
      <c r="Z12" s="10">
        <f t="shared" si="1"/>
        <v>12.03886859</v>
      </c>
    </row>
    <row r="13" spans="1:26" x14ac:dyDescent="0.2">
      <c r="A13" s="3" t="s">
        <v>34</v>
      </c>
      <c r="B13" s="3" t="s">
        <v>35</v>
      </c>
      <c r="C13" s="3" t="s">
        <v>2</v>
      </c>
      <c r="D13" s="3" t="s">
        <v>3</v>
      </c>
      <c r="E13" s="3" t="s">
        <v>4</v>
      </c>
      <c r="F13" s="4">
        <v>19.914000000000001</v>
      </c>
      <c r="G13" s="4">
        <v>19.914000000000001</v>
      </c>
      <c r="H13" s="5">
        <v>44111</v>
      </c>
      <c r="I13" s="3" t="s">
        <v>12</v>
      </c>
      <c r="J13" s="3" t="s">
        <v>6</v>
      </c>
      <c r="K13" s="3" t="s">
        <v>6</v>
      </c>
      <c r="L13" s="5"/>
      <c r="M13" s="5">
        <v>36514</v>
      </c>
      <c r="N13" s="3" t="s">
        <v>7</v>
      </c>
      <c r="O13" s="3" t="s">
        <v>8</v>
      </c>
      <c r="P13" s="3" t="s">
        <v>6</v>
      </c>
      <c r="Q13" s="3" t="s">
        <v>6</v>
      </c>
      <c r="R13" s="10">
        <v>0</v>
      </c>
      <c r="S13" s="10">
        <v>45.06088089</v>
      </c>
      <c r="T13" s="10">
        <v>0</v>
      </c>
      <c r="U13" s="10">
        <v>0</v>
      </c>
      <c r="V13" s="10">
        <v>2.2000000000000002</v>
      </c>
      <c r="W13" s="10">
        <v>11.995361089999999</v>
      </c>
      <c r="X13">
        <v>0</v>
      </c>
      <c r="Y13" s="10">
        <f t="shared" si="0"/>
        <v>45.06088089</v>
      </c>
      <c r="Z13" s="10">
        <f t="shared" si="1"/>
        <v>11.995361089999999</v>
      </c>
    </row>
    <row r="14" spans="1:26" x14ac:dyDescent="0.2">
      <c r="A14" s="3" t="s">
        <v>36</v>
      </c>
      <c r="B14" s="3" t="s">
        <v>37</v>
      </c>
      <c r="C14" s="3" t="s">
        <v>11</v>
      </c>
      <c r="D14" s="3" t="s">
        <v>3</v>
      </c>
      <c r="E14" s="3" t="s">
        <v>4</v>
      </c>
      <c r="F14" s="4">
        <v>51.283000000000001</v>
      </c>
      <c r="G14" s="4">
        <v>51.283000000000001</v>
      </c>
      <c r="H14" s="5">
        <v>45226</v>
      </c>
      <c r="I14" s="3" t="s">
        <v>5</v>
      </c>
      <c r="J14" s="3" t="s">
        <v>6</v>
      </c>
      <c r="K14" s="3" t="s">
        <v>6</v>
      </c>
      <c r="L14" s="5"/>
      <c r="M14" s="5">
        <v>36514</v>
      </c>
      <c r="N14" s="3" t="s">
        <v>7</v>
      </c>
      <c r="O14" s="3" t="s">
        <v>8</v>
      </c>
      <c r="P14" s="3" t="s">
        <v>6</v>
      </c>
      <c r="Q14" s="3" t="s">
        <v>6</v>
      </c>
      <c r="R14" s="10">
        <v>0</v>
      </c>
      <c r="S14" s="10">
        <v>45.766683790000002</v>
      </c>
      <c r="T14" s="10">
        <v>0</v>
      </c>
      <c r="U14" s="10">
        <v>0</v>
      </c>
      <c r="V14" s="10">
        <v>129.19999999999999</v>
      </c>
      <c r="W14" s="10">
        <v>11.741536290000001</v>
      </c>
      <c r="X14">
        <v>0</v>
      </c>
      <c r="Y14" s="10">
        <f t="shared" si="0"/>
        <v>45.766683790000002</v>
      </c>
      <c r="Z14" s="10">
        <f t="shared" si="1"/>
        <v>11.741536290000001</v>
      </c>
    </row>
    <row r="15" spans="1:26" x14ac:dyDescent="0.2">
      <c r="A15" s="3" t="s">
        <v>38</v>
      </c>
      <c r="B15" s="3" t="s">
        <v>39</v>
      </c>
      <c r="C15" s="3" t="s">
        <v>2</v>
      </c>
      <c r="D15" s="3" t="s">
        <v>3</v>
      </c>
      <c r="E15" s="3" t="s">
        <v>4</v>
      </c>
      <c r="F15" s="4">
        <v>105.7</v>
      </c>
      <c r="G15" s="4">
        <v>105.7</v>
      </c>
      <c r="H15" s="5">
        <v>44550</v>
      </c>
      <c r="I15" s="3" t="s">
        <v>5</v>
      </c>
      <c r="J15" s="3" t="s">
        <v>6</v>
      </c>
      <c r="K15" s="3" t="s">
        <v>6</v>
      </c>
      <c r="L15" s="5"/>
      <c r="M15" s="5">
        <v>36514</v>
      </c>
      <c r="N15" s="3" t="s">
        <v>7</v>
      </c>
      <c r="O15" s="3" t="s">
        <v>8</v>
      </c>
      <c r="P15" s="3" t="s">
        <v>6</v>
      </c>
      <c r="Q15" s="3" t="s">
        <v>6</v>
      </c>
      <c r="R15" s="10">
        <v>0</v>
      </c>
      <c r="S15" s="10">
        <v>45.291472800000001</v>
      </c>
      <c r="T15" s="10">
        <v>0</v>
      </c>
      <c r="U15" s="10">
        <v>0</v>
      </c>
      <c r="V15" s="10">
        <v>7.3</v>
      </c>
      <c r="W15" s="10">
        <v>11.77839249</v>
      </c>
      <c r="X15">
        <v>0</v>
      </c>
      <c r="Y15" s="10">
        <f t="shared" si="0"/>
        <v>45.291472800000001</v>
      </c>
      <c r="Z15" s="10">
        <f t="shared" si="1"/>
        <v>11.77839249</v>
      </c>
    </row>
    <row r="16" spans="1:26" x14ac:dyDescent="0.2">
      <c r="A16" s="3" t="s">
        <v>40</v>
      </c>
      <c r="B16" s="3" t="s">
        <v>41</v>
      </c>
      <c r="C16" s="3" t="s">
        <v>11</v>
      </c>
      <c r="D16" s="3" t="s">
        <v>3</v>
      </c>
      <c r="E16" s="3" t="s">
        <v>4</v>
      </c>
      <c r="F16" s="4">
        <v>85.093000000000004</v>
      </c>
      <c r="G16" s="4">
        <v>85.093000000000004</v>
      </c>
      <c r="H16" s="5">
        <v>44875</v>
      </c>
      <c r="I16" s="3" t="s">
        <v>5</v>
      </c>
      <c r="J16" s="3" t="s">
        <v>6</v>
      </c>
      <c r="K16" s="3" t="s">
        <v>6</v>
      </c>
      <c r="L16" s="5"/>
      <c r="M16" s="5">
        <v>36514</v>
      </c>
      <c r="N16" s="3" t="s">
        <v>7</v>
      </c>
      <c r="O16" s="3" t="s">
        <v>8</v>
      </c>
      <c r="P16" s="3" t="s">
        <v>6</v>
      </c>
      <c r="Q16" s="3" t="s">
        <v>6</v>
      </c>
      <c r="R16" s="10">
        <v>0</v>
      </c>
      <c r="S16" s="10">
        <v>46.141587389999998</v>
      </c>
      <c r="T16" s="10">
        <v>0</v>
      </c>
      <c r="U16" s="10">
        <v>0</v>
      </c>
      <c r="V16" s="10">
        <v>398.3</v>
      </c>
      <c r="W16" s="10">
        <v>12.209724789999999</v>
      </c>
      <c r="X16">
        <v>0</v>
      </c>
      <c r="Y16" s="10">
        <f t="shared" si="0"/>
        <v>46.141587389999998</v>
      </c>
      <c r="Z16" s="10">
        <f t="shared" si="1"/>
        <v>12.209724789999999</v>
      </c>
    </row>
    <row r="17" spans="1:26" x14ac:dyDescent="0.2">
      <c r="A17" s="3" t="s">
        <v>42</v>
      </c>
      <c r="B17" s="3" t="s">
        <v>43</v>
      </c>
      <c r="C17" s="3" t="s">
        <v>11</v>
      </c>
      <c r="D17" s="3" t="s">
        <v>3</v>
      </c>
      <c r="E17" s="3" t="s">
        <v>4</v>
      </c>
      <c r="F17" s="4">
        <v>61.639000000000003</v>
      </c>
      <c r="G17" s="4">
        <v>61.639000000000003</v>
      </c>
      <c r="H17" s="5">
        <v>44817</v>
      </c>
      <c r="I17" s="3" t="s">
        <v>5</v>
      </c>
      <c r="J17" s="3" t="s">
        <v>6</v>
      </c>
      <c r="K17" s="3" t="s">
        <v>6</v>
      </c>
      <c r="L17" s="5"/>
      <c r="M17" s="5">
        <v>36514</v>
      </c>
      <c r="N17" s="3" t="s">
        <v>7</v>
      </c>
      <c r="O17" s="3" t="s">
        <v>8</v>
      </c>
      <c r="P17" s="3" t="s">
        <v>6</v>
      </c>
      <c r="Q17" s="3" t="s">
        <v>6</v>
      </c>
      <c r="R17" s="10">
        <v>0</v>
      </c>
      <c r="S17" s="10">
        <v>46.040084489999998</v>
      </c>
      <c r="T17" s="10">
        <v>0</v>
      </c>
      <c r="U17" s="10">
        <v>0</v>
      </c>
      <c r="V17" s="10">
        <v>265.3</v>
      </c>
      <c r="W17" s="10">
        <v>11.97926519</v>
      </c>
      <c r="X17">
        <v>0</v>
      </c>
      <c r="Y17" s="10">
        <f t="shared" si="0"/>
        <v>46.040084489999998</v>
      </c>
      <c r="Z17" s="10">
        <f t="shared" si="1"/>
        <v>11.97926519</v>
      </c>
    </row>
    <row r="18" spans="1:26" x14ac:dyDescent="0.2">
      <c r="A18" s="3" t="s">
        <v>44</v>
      </c>
      <c r="B18" s="3" t="s">
        <v>45</v>
      </c>
      <c r="C18" s="3" t="s">
        <v>11</v>
      </c>
      <c r="D18" s="3" t="s">
        <v>3</v>
      </c>
      <c r="E18" s="3" t="s">
        <v>4</v>
      </c>
      <c r="F18" s="4">
        <v>128.953</v>
      </c>
      <c r="G18" s="4">
        <v>128.953</v>
      </c>
      <c r="H18" s="5">
        <v>44861</v>
      </c>
      <c r="I18" s="3" t="s">
        <v>5</v>
      </c>
      <c r="J18" s="3" t="s">
        <v>6</v>
      </c>
      <c r="K18" s="3" t="s">
        <v>6</v>
      </c>
      <c r="L18" s="5"/>
      <c r="M18" s="5">
        <v>36514</v>
      </c>
      <c r="N18" s="3" t="s">
        <v>7</v>
      </c>
      <c r="O18" s="3" t="s">
        <v>8</v>
      </c>
      <c r="P18" s="3" t="s">
        <v>6</v>
      </c>
      <c r="Q18" s="3" t="s">
        <v>6</v>
      </c>
      <c r="R18" s="10">
        <v>0</v>
      </c>
      <c r="S18" s="10">
        <v>46.443818100000001</v>
      </c>
      <c r="T18" s="10">
        <v>0</v>
      </c>
      <c r="U18" s="10">
        <v>0</v>
      </c>
      <c r="V18" s="10">
        <v>738.2</v>
      </c>
      <c r="W18" s="10">
        <v>12.388682790000001</v>
      </c>
      <c r="X18">
        <v>0</v>
      </c>
      <c r="Y18" s="10">
        <f t="shared" si="0"/>
        <v>46.443818100000001</v>
      </c>
      <c r="Z18" s="10">
        <f t="shared" si="1"/>
        <v>12.388682790000001</v>
      </c>
    </row>
    <row r="19" spans="1:26" x14ac:dyDescent="0.2">
      <c r="A19" s="3" t="s">
        <v>46</v>
      </c>
      <c r="B19" s="3" t="s">
        <v>47</v>
      </c>
      <c r="C19" s="3" t="s">
        <v>11</v>
      </c>
      <c r="D19" s="3" t="s">
        <v>3</v>
      </c>
      <c r="E19" s="3" t="s">
        <v>4</v>
      </c>
      <c r="F19" s="4">
        <v>36.451000000000001</v>
      </c>
      <c r="G19" s="4">
        <v>36.451000000000001</v>
      </c>
      <c r="H19" s="5">
        <v>44861</v>
      </c>
      <c r="I19" s="3" t="s">
        <v>5</v>
      </c>
      <c r="J19" s="3" t="s">
        <v>6</v>
      </c>
      <c r="K19" s="3" t="s">
        <v>6</v>
      </c>
      <c r="L19" s="5"/>
      <c r="M19" s="5">
        <v>36514</v>
      </c>
      <c r="N19" s="3" t="s">
        <v>7</v>
      </c>
      <c r="O19" s="3" t="s">
        <v>8</v>
      </c>
      <c r="P19" s="3" t="s">
        <v>6</v>
      </c>
      <c r="Q19" s="3" t="s">
        <v>6</v>
      </c>
      <c r="R19" s="10">
        <v>0</v>
      </c>
      <c r="S19" s="10">
        <v>45.505712889999998</v>
      </c>
      <c r="T19" s="10">
        <v>0</v>
      </c>
      <c r="U19" s="10">
        <v>0</v>
      </c>
      <c r="V19" s="10">
        <v>19</v>
      </c>
      <c r="W19" s="10">
        <v>11.900902690000001</v>
      </c>
      <c r="X19">
        <v>0</v>
      </c>
      <c r="Y19" s="10">
        <f t="shared" si="0"/>
        <v>45.505712889999998</v>
      </c>
      <c r="Z19" s="10">
        <f t="shared" si="1"/>
        <v>11.900902690000001</v>
      </c>
    </row>
    <row r="20" spans="1:26" x14ac:dyDescent="0.2">
      <c r="A20" s="3" t="s">
        <v>48</v>
      </c>
      <c r="B20" s="3" t="s">
        <v>49</v>
      </c>
      <c r="C20" s="3" t="s">
        <v>11</v>
      </c>
      <c r="D20" s="3" t="s">
        <v>3</v>
      </c>
      <c r="E20" s="3" t="s">
        <v>4</v>
      </c>
      <c r="F20" s="4">
        <v>29.114999999999998</v>
      </c>
      <c r="G20" s="4">
        <v>29.114999999999998</v>
      </c>
      <c r="H20" s="5">
        <v>44396</v>
      </c>
      <c r="I20" s="3" t="s">
        <v>5</v>
      </c>
      <c r="J20" s="3" t="s">
        <v>6</v>
      </c>
      <c r="K20" s="3" t="s">
        <v>6</v>
      </c>
      <c r="L20" s="5"/>
      <c r="M20" s="5">
        <v>36514</v>
      </c>
      <c r="N20" s="3" t="s">
        <v>7</v>
      </c>
      <c r="O20" s="3" t="s">
        <v>8</v>
      </c>
      <c r="P20" s="3" t="s">
        <v>6</v>
      </c>
      <c r="Q20" s="3" t="s">
        <v>6</v>
      </c>
      <c r="R20" s="10">
        <v>0</v>
      </c>
      <c r="S20" s="10">
        <v>45.5689153</v>
      </c>
      <c r="T20" s="10">
        <v>0</v>
      </c>
      <c r="U20" s="10">
        <v>0</v>
      </c>
      <c r="V20" s="10">
        <v>25.7</v>
      </c>
      <c r="W20" s="10">
        <v>11.928300589999999</v>
      </c>
      <c r="X20">
        <v>0</v>
      </c>
      <c r="Y20" s="10">
        <f t="shared" si="0"/>
        <v>45.5689153</v>
      </c>
      <c r="Z20" s="10">
        <f t="shared" si="1"/>
        <v>11.928300589999999</v>
      </c>
    </row>
    <row r="21" spans="1:26" x14ac:dyDescent="0.2">
      <c r="A21" s="3" t="s">
        <v>50</v>
      </c>
      <c r="B21" s="3" t="s">
        <v>51</v>
      </c>
      <c r="C21" s="3" t="s">
        <v>2</v>
      </c>
      <c r="D21" s="3" t="s">
        <v>3</v>
      </c>
      <c r="E21" s="3" t="s">
        <v>4</v>
      </c>
      <c r="F21" s="4">
        <v>58.722000000000001</v>
      </c>
      <c r="G21" s="4">
        <v>58.722000000000001</v>
      </c>
      <c r="H21" s="5">
        <v>45595</v>
      </c>
      <c r="I21" s="3" t="s">
        <v>5</v>
      </c>
      <c r="J21" s="3" t="s">
        <v>6</v>
      </c>
      <c r="K21" s="3" t="s">
        <v>6</v>
      </c>
      <c r="L21" s="5">
        <v>39097</v>
      </c>
      <c r="M21" s="5">
        <v>36514</v>
      </c>
      <c r="N21" s="3" t="s">
        <v>7</v>
      </c>
      <c r="O21" s="3" t="s">
        <v>8</v>
      </c>
      <c r="P21" s="3" t="s">
        <v>6</v>
      </c>
      <c r="Q21" s="3" t="s">
        <v>6</v>
      </c>
      <c r="R21" s="10">
        <v>0</v>
      </c>
      <c r="S21" s="10">
        <v>44.923005699999997</v>
      </c>
      <c r="T21" s="10">
        <v>0</v>
      </c>
      <c r="U21" s="10">
        <v>0</v>
      </c>
      <c r="V21" s="10">
        <v>7</v>
      </c>
      <c r="W21" s="10">
        <v>11.67523609</v>
      </c>
      <c r="X21">
        <v>0</v>
      </c>
      <c r="Y21" s="10">
        <f t="shared" si="0"/>
        <v>44.923005699999997</v>
      </c>
      <c r="Z21" s="10">
        <f t="shared" si="1"/>
        <v>11.67523609</v>
      </c>
    </row>
    <row r="22" spans="1:26" x14ac:dyDescent="0.2">
      <c r="A22" s="3" t="s">
        <v>52</v>
      </c>
      <c r="B22" s="3" t="s">
        <v>53</v>
      </c>
      <c r="C22" s="3" t="s">
        <v>11</v>
      </c>
      <c r="D22" s="3" t="s">
        <v>3</v>
      </c>
      <c r="E22" s="3" t="s">
        <v>4</v>
      </c>
      <c r="F22" s="4">
        <v>16.917999999999999</v>
      </c>
      <c r="G22" s="4">
        <v>16.917999999999999</v>
      </c>
      <c r="H22" s="5">
        <v>44111</v>
      </c>
      <c r="I22" s="3" t="s">
        <v>12</v>
      </c>
      <c r="J22" s="3" t="s">
        <v>6</v>
      </c>
      <c r="K22" s="3" t="s">
        <v>6</v>
      </c>
      <c r="L22" s="5"/>
      <c r="M22" s="5">
        <v>36514</v>
      </c>
      <c r="N22" s="3" t="s">
        <v>7</v>
      </c>
      <c r="O22" s="3" t="s">
        <v>8</v>
      </c>
      <c r="P22" s="3" t="s">
        <v>6</v>
      </c>
      <c r="Q22" s="3" t="s">
        <v>6</v>
      </c>
      <c r="R22" s="10">
        <v>0</v>
      </c>
      <c r="S22" s="10">
        <v>45.621345990000002</v>
      </c>
      <c r="T22" s="10">
        <v>0</v>
      </c>
      <c r="U22" s="10">
        <v>0</v>
      </c>
      <c r="V22" s="10">
        <v>44.6</v>
      </c>
      <c r="W22" s="10">
        <v>11.714902090000001</v>
      </c>
      <c r="X22">
        <v>0</v>
      </c>
      <c r="Y22" s="10">
        <f t="shared" si="0"/>
        <v>45.621345990000002</v>
      </c>
      <c r="Z22" s="10">
        <f t="shared" si="1"/>
        <v>11.714902090000001</v>
      </c>
    </row>
    <row r="23" spans="1:26" x14ac:dyDescent="0.2">
      <c r="A23" s="3" t="s">
        <v>54</v>
      </c>
      <c r="B23" s="3" t="s">
        <v>55</v>
      </c>
      <c r="C23" s="3" t="s">
        <v>11</v>
      </c>
      <c r="D23" s="3" t="s">
        <v>3</v>
      </c>
      <c r="E23" s="3" t="s">
        <v>4</v>
      </c>
      <c r="F23" s="4">
        <v>64.489000000000004</v>
      </c>
      <c r="G23" s="4">
        <v>64.489000000000004</v>
      </c>
      <c r="H23" s="5">
        <v>45618</v>
      </c>
      <c r="I23" s="3" t="s">
        <v>5</v>
      </c>
      <c r="J23" s="3" t="s">
        <v>6</v>
      </c>
      <c r="K23" s="3" t="s">
        <v>6</v>
      </c>
      <c r="L23" s="5">
        <v>39224</v>
      </c>
      <c r="M23" s="5">
        <v>36514</v>
      </c>
      <c r="N23" s="3" t="s">
        <v>7</v>
      </c>
      <c r="O23" s="3" t="s">
        <v>8</v>
      </c>
      <c r="P23" s="3" t="s">
        <v>6</v>
      </c>
      <c r="Q23" s="3" t="s">
        <v>6</v>
      </c>
      <c r="R23" s="10">
        <v>0</v>
      </c>
      <c r="S23" s="10">
        <v>45.860114789999997</v>
      </c>
      <c r="T23" s="10">
        <v>0</v>
      </c>
      <c r="U23" s="10">
        <v>0</v>
      </c>
      <c r="V23" s="10">
        <v>156.19999999999999</v>
      </c>
      <c r="W23" s="10">
        <v>11.66119679</v>
      </c>
      <c r="X23">
        <v>0</v>
      </c>
      <c r="Y23" s="10">
        <f t="shared" si="0"/>
        <v>45.860114789999997</v>
      </c>
      <c r="Z23" s="10">
        <f t="shared" si="1"/>
        <v>11.66119679</v>
      </c>
    </row>
    <row r="24" spans="1:26" x14ac:dyDescent="0.2">
      <c r="A24" s="3" t="s">
        <v>56</v>
      </c>
      <c r="B24" s="3" t="s">
        <v>57</v>
      </c>
      <c r="C24" s="3" t="s">
        <v>11</v>
      </c>
      <c r="D24" s="3" t="s">
        <v>3</v>
      </c>
      <c r="E24" s="3" t="s">
        <v>4</v>
      </c>
      <c r="F24" s="4">
        <v>45.401000000000003</v>
      </c>
      <c r="G24" s="4">
        <v>45.401000000000003</v>
      </c>
      <c r="H24" s="5">
        <v>44111</v>
      </c>
      <c r="I24" s="3" t="s">
        <v>12</v>
      </c>
      <c r="J24" s="3" t="s">
        <v>6</v>
      </c>
      <c r="K24" s="3" t="s">
        <v>6</v>
      </c>
      <c r="L24" s="5"/>
      <c r="M24" s="5">
        <v>36514</v>
      </c>
      <c r="N24" s="3" t="s">
        <v>7</v>
      </c>
      <c r="O24" s="3" t="s">
        <v>8</v>
      </c>
      <c r="P24" s="3" t="s">
        <v>6</v>
      </c>
      <c r="Q24" s="3" t="s">
        <v>6</v>
      </c>
      <c r="R24" s="10">
        <v>0</v>
      </c>
      <c r="S24" s="10">
        <v>45.732281790000002</v>
      </c>
      <c r="T24" s="10">
        <v>0</v>
      </c>
      <c r="U24" s="10">
        <v>0</v>
      </c>
      <c r="V24" s="10">
        <v>94.5</v>
      </c>
      <c r="W24" s="10">
        <v>11.795887499999999</v>
      </c>
      <c r="X24">
        <v>0</v>
      </c>
      <c r="Y24" s="10">
        <f t="shared" si="0"/>
        <v>45.732281790000002</v>
      </c>
      <c r="Z24" s="10">
        <f t="shared" si="1"/>
        <v>11.795887499999999</v>
      </c>
    </row>
    <row r="25" spans="1:26" x14ac:dyDescent="0.2">
      <c r="A25" s="3" t="s">
        <v>58</v>
      </c>
      <c r="B25" s="3" t="s">
        <v>59</v>
      </c>
      <c r="C25" s="3" t="s">
        <v>11</v>
      </c>
      <c r="D25" s="3" t="s">
        <v>3</v>
      </c>
      <c r="E25" s="3" t="s">
        <v>4</v>
      </c>
      <c r="F25" s="4">
        <v>37.375999999999998</v>
      </c>
      <c r="G25" s="4">
        <v>37.375999999999998</v>
      </c>
      <c r="H25" s="5">
        <v>44734</v>
      </c>
      <c r="I25" s="3" t="s">
        <v>5</v>
      </c>
      <c r="J25" s="3" t="s">
        <v>6</v>
      </c>
      <c r="K25" s="3" t="s">
        <v>6</v>
      </c>
      <c r="L25" s="5"/>
      <c r="M25" s="5">
        <v>36514</v>
      </c>
      <c r="N25" s="3" t="s">
        <v>7</v>
      </c>
      <c r="O25" s="3" t="s">
        <v>8</v>
      </c>
      <c r="P25" s="3" t="s">
        <v>6</v>
      </c>
      <c r="Q25" s="3" t="s">
        <v>6</v>
      </c>
      <c r="R25" s="10">
        <v>0</v>
      </c>
      <c r="S25" s="10">
        <v>45.688072689999998</v>
      </c>
      <c r="T25" s="10">
        <v>0</v>
      </c>
      <c r="U25" s="10">
        <v>0</v>
      </c>
      <c r="V25" s="10">
        <v>52.2</v>
      </c>
      <c r="W25" s="10">
        <v>11.877604590000001</v>
      </c>
      <c r="X25">
        <v>0</v>
      </c>
      <c r="Y25" s="10">
        <f t="shared" si="0"/>
        <v>45.688072689999998</v>
      </c>
      <c r="Z25" s="10">
        <f t="shared" si="1"/>
        <v>11.877604590000001</v>
      </c>
    </row>
    <row r="26" spans="1:26" x14ac:dyDescent="0.2">
      <c r="A26" s="3" t="s">
        <v>60</v>
      </c>
      <c r="B26" s="3" t="s">
        <v>61</v>
      </c>
      <c r="C26" s="3" t="s">
        <v>11</v>
      </c>
      <c r="D26" s="3" t="s">
        <v>3</v>
      </c>
      <c r="E26" s="3" t="s">
        <v>4</v>
      </c>
      <c r="F26" s="4">
        <v>35.530999999999999</v>
      </c>
      <c r="G26" s="4">
        <v>35.530999999999999</v>
      </c>
      <c r="H26" s="5">
        <v>45421</v>
      </c>
      <c r="I26" s="3" t="s">
        <v>24</v>
      </c>
      <c r="J26" s="3" t="s">
        <v>6</v>
      </c>
      <c r="K26" s="3" t="s">
        <v>6</v>
      </c>
      <c r="L26" s="5"/>
      <c r="M26" s="5">
        <v>36514</v>
      </c>
      <c r="N26" s="3" t="s">
        <v>7</v>
      </c>
      <c r="O26" s="3" t="s">
        <v>8</v>
      </c>
      <c r="P26" s="3" t="s">
        <v>6</v>
      </c>
      <c r="Q26" s="3" t="s">
        <v>6</v>
      </c>
      <c r="R26" s="10">
        <v>0</v>
      </c>
      <c r="S26" s="10">
        <v>45.666425490000002</v>
      </c>
      <c r="T26" s="10">
        <v>0</v>
      </c>
      <c r="U26" s="10">
        <v>0</v>
      </c>
      <c r="V26" s="10">
        <v>41</v>
      </c>
      <c r="W26" s="10">
        <v>11.93432819</v>
      </c>
      <c r="X26">
        <v>0</v>
      </c>
      <c r="Y26" s="10">
        <f t="shared" si="0"/>
        <v>45.666425490000002</v>
      </c>
      <c r="Z26" s="10">
        <f t="shared" si="1"/>
        <v>11.93432819</v>
      </c>
    </row>
    <row r="27" spans="1:26" x14ac:dyDescent="0.2">
      <c r="A27" s="3" t="s">
        <v>62</v>
      </c>
      <c r="B27" s="3" t="s">
        <v>63</v>
      </c>
      <c r="C27" s="3" t="s">
        <v>2</v>
      </c>
      <c r="D27" s="3" t="s">
        <v>3</v>
      </c>
      <c r="E27" s="3" t="s">
        <v>4</v>
      </c>
      <c r="F27" s="4">
        <v>44.232999999999997</v>
      </c>
      <c r="G27" s="4">
        <v>44.232999999999997</v>
      </c>
      <c r="H27" s="5">
        <v>45595</v>
      </c>
      <c r="I27" s="3" t="s">
        <v>5</v>
      </c>
      <c r="J27" s="3" t="s">
        <v>6</v>
      </c>
      <c r="K27" s="3" t="s">
        <v>6</v>
      </c>
      <c r="L27" s="5">
        <v>39045</v>
      </c>
      <c r="M27" s="5">
        <v>36514</v>
      </c>
      <c r="N27" s="3" t="s">
        <v>7</v>
      </c>
      <c r="O27" s="3" t="s">
        <v>8</v>
      </c>
      <c r="P27" s="3" t="s">
        <v>6</v>
      </c>
      <c r="Q27" s="3" t="s">
        <v>6</v>
      </c>
      <c r="R27" s="10">
        <v>0</v>
      </c>
      <c r="S27" s="10">
        <v>45.111253290000001</v>
      </c>
      <c r="T27" s="10">
        <v>0</v>
      </c>
      <c r="U27" s="10">
        <v>0</v>
      </c>
      <c r="V27" s="10">
        <v>6</v>
      </c>
      <c r="W27" s="10">
        <v>12.249331489999999</v>
      </c>
      <c r="X27">
        <v>0</v>
      </c>
      <c r="Y27" s="10">
        <f t="shared" si="0"/>
        <v>45.111253290000001</v>
      </c>
      <c r="Z27" s="10">
        <f t="shared" si="1"/>
        <v>12.249331489999999</v>
      </c>
    </row>
    <row r="28" spans="1:26" x14ac:dyDescent="0.2">
      <c r="A28" s="3" t="s">
        <v>64</v>
      </c>
      <c r="B28" s="3" t="s">
        <v>65</v>
      </c>
      <c r="C28" s="3" t="s">
        <v>2</v>
      </c>
      <c r="D28" s="3" t="s">
        <v>3</v>
      </c>
      <c r="E28" s="3" t="s">
        <v>4</v>
      </c>
      <c r="F28" s="4">
        <v>30.983000000000001</v>
      </c>
      <c r="G28" s="4">
        <v>30.983000000000001</v>
      </c>
      <c r="H28" s="5">
        <v>45167</v>
      </c>
      <c r="I28" s="3" t="s">
        <v>5</v>
      </c>
      <c r="J28" s="3" t="s">
        <v>6</v>
      </c>
      <c r="K28" s="3" t="s">
        <v>6</v>
      </c>
      <c r="L28" s="5"/>
      <c r="M28" s="5">
        <v>36514</v>
      </c>
      <c r="N28" s="3" t="s">
        <v>7</v>
      </c>
      <c r="O28" s="3" t="s">
        <v>8</v>
      </c>
      <c r="P28" s="3" t="s">
        <v>6</v>
      </c>
      <c r="Q28" s="3" t="s">
        <v>6</v>
      </c>
      <c r="R28" s="10">
        <v>0</v>
      </c>
      <c r="S28" s="10">
        <v>45.052198089999997</v>
      </c>
      <c r="T28" s="10">
        <v>0</v>
      </c>
      <c r="U28" s="10">
        <v>0</v>
      </c>
      <c r="V28" s="10">
        <v>0.4</v>
      </c>
      <c r="W28" s="10">
        <v>12.13490709</v>
      </c>
      <c r="X28">
        <v>0</v>
      </c>
      <c r="Y28" s="10">
        <f t="shared" si="0"/>
        <v>45.052198089999997</v>
      </c>
      <c r="Z28" s="10">
        <f t="shared" si="1"/>
        <v>12.13490709</v>
      </c>
    </row>
    <row r="29" spans="1:26" x14ac:dyDescent="0.2">
      <c r="A29" s="3" t="s">
        <v>66</v>
      </c>
      <c r="B29" s="3" t="s">
        <v>67</v>
      </c>
      <c r="C29" s="3" t="s">
        <v>2</v>
      </c>
      <c r="D29" s="3" t="s">
        <v>3</v>
      </c>
      <c r="E29" s="3" t="s">
        <v>4</v>
      </c>
      <c r="F29" s="4">
        <v>40.686</v>
      </c>
      <c r="G29" s="4">
        <v>40.686</v>
      </c>
      <c r="H29" s="5">
        <v>45349</v>
      </c>
      <c r="I29" s="3" t="s">
        <v>21</v>
      </c>
      <c r="J29" s="3" t="s">
        <v>6</v>
      </c>
      <c r="K29" s="3" t="s">
        <v>6</v>
      </c>
      <c r="L29" s="5">
        <v>39097</v>
      </c>
      <c r="M29" s="5">
        <v>36514</v>
      </c>
      <c r="N29" s="3" t="s">
        <v>7</v>
      </c>
      <c r="O29" s="3" t="s">
        <v>8</v>
      </c>
      <c r="P29" s="3" t="s">
        <v>6</v>
      </c>
      <c r="Q29" s="3" t="s">
        <v>6</v>
      </c>
      <c r="R29" s="10">
        <v>0</v>
      </c>
      <c r="S29" s="10">
        <v>45.688387489999997</v>
      </c>
      <c r="T29" s="10">
        <v>0</v>
      </c>
      <c r="U29" s="10">
        <v>0</v>
      </c>
      <c r="V29" s="10">
        <v>3.1</v>
      </c>
      <c r="W29" s="10">
        <v>12.633995690000001</v>
      </c>
      <c r="X29">
        <v>0</v>
      </c>
      <c r="Y29" s="10">
        <f t="shared" si="0"/>
        <v>45.688387489999997</v>
      </c>
      <c r="Z29" s="10">
        <f t="shared" si="1"/>
        <v>12.633995690000001</v>
      </c>
    </row>
    <row r="30" spans="1:26" x14ac:dyDescent="0.2">
      <c r="A30" s="3" t="s">
        <v>68</v>
      </c>
      <c r="B30" s="3" t="s">
        <v>69</v>
      </c>
      <c r="C30" s="3" t="s">
        <v>2</v>
      </c>
      <c r="D30" s="3" t="s">
        <v>3</v>
      </c>
      <c r="E30" s="3" t="s">
        <v>4</v>
      </c>
      <c r="F30" s="4">
        <v>9.5570000000000004</v>
      </c>
      <c r="G30" s="4">
        <v>9.5570000000000004</v>
      </c>
      <c r="H30" s="5">
        <v>44111</v>
      </c>
      <c r="I30" s="3" t="s">
        <v>12</v>
      </c>
      <c r="J30" s="3" t="s">
        <v>6</v>
      </c>
      <c r="K30" s="3" t="s">
        <v>6</v>
      </c>
      <c r="L30" s="5"/>
      <c r="M30" s="5">
        <v>36514</v>
      </c>
      <c r="N30" s="3" t="s">
        <v>7</v>
      </c>
      <c r="O30" s="3" t="s">
        <v>8</v>
      </c>
      <c r="P30" s="3" t="s">
        <v>6</v>
      </c>
      <c r="Q30" s="3" t="s">
        <v>6</v>
      </c>
      <c r="R30" s="10">
        <v>0</v>
      </c>
      <c r="S30" s="10">
        <v>45.050614090000003</v>
      </c>
      <c r="T30" s="10">
        <v>0</v>
      </c>
      <c r="U30" s="10">
        <v>0</v>
      </c>
      <c r="V30" s="10">
        <v>3.8</v>
      </c>
      <c r="W30" s="10">
        <v>11.870977890000001</v>
      </c>
      <c r="X30">
        <v>0</v>
      </c>
      <c r="Y30" s="10">
        <f t="shared" si="0"/>
        <v>45.050614090000003</v>
      </c>
      <c r="Z30" s="10">
        <f t="shared" si="1"/>
        <v>11.870977890000001</v>
      </c>
    </row>
    <row r="31" spans="1:26" x14ac:dyDescent="0.2">
      <c r="A31" s="3" t="s">
        <v>70</v>
      </c>
      <c r="B31" s="3" t="s">
        <v>71</v>
      </c>
      <c r="C31" s="3" t="s">
        <v>2</v>
      </c>
      <c r="D31" s="3" t="s">
        <v>3</v>
      </c>
      <c r="E31" s="3" t="s">
        <v>4</v>
      </c>
      <c r="F31" s="4">
        <v>55.792000000000002</v>
      </c>
      <c r="G31" s="4">
        <v>55.792000000000002</v>
      </c>
      <c r="H31" s="5">
        <v>44994</v>
      </c>
      <c r="I31" s="3" t="s">
        <v>5</v>
      </c>
      <c r="J31" s="3" t="s">
        <v>6</v>
      </c>
      <c r="K31" s="3" t="s">
        <v>6</v>
      </c>
      <c r="L31" s="5"/>
      <c r="M31" s="5">
        <v>36514</v>
      </c>
      <c r="N31" s="3" t="s">
        <v>7</v>
      </c>
      <c r="O31" s="3" t="s">
        <v>8</v>
      </c>
      <c r="P31" s="3" t="s">
        <v>6</v>
      </c>
      <c r="Q31" s="3" t="s">
        <v>6</v>
      </c>
      <c r="R31" s="10">
        <v>0</v>
      </c>
      <c r="S31" s="10">
        <v>45.21024079</v>
      </c>
      <c r="T31" s="10">
        <v>0</v>
      </c>
      <c r="U31" s="10">
        <v>0</v>
      </c>
      <c r="V31" s="10">
        <v>2</v>
      </c>
      <c r="W31" s="10">
        <v>12.275245890000001</v>
      </c>
      <c r="X31">
        <v>0</v>
      </c>
      <c r="Y31" s="10">
        <f t="shared" si="0"/>
        <v>45.21024079</v>
      </c>
      <c r="Z31" s="10">
        <f t="shared" si="1"/>
        <v>12.275245890000001</v>
      </c>
    </row>
    <row r="32" spans="1:26" x14ac:dyDescent="0.2">
      <c r="A32" s="3" t="s">
        <v>72</v>
      </c>
      <c r="B32" s="3" t="s">
        <v>73</v>
      </c>
      <c r="C32" s="3" t="s">
        <v>11</v>
      </c>
      <c r="D32" s="3" t="s">
        <v>3</v>
      </c>
      <c r="E32" s="3" t="s">
        <v>4</v>
      </c>
      <c r="F32" s="4">
        <v>73.747</v>
      </c>
      <c r="G32" s="4">
        <v>73.747</v>
      </c>
      <c r="H32" s="5">
        <v>44111</v>
      </c>
      <c r="I32" s="3" t="s">
        <v>12</v>
      </c>
      <c r="J32" s="3" t="s">
        <v>6</v>
      </c>
      <c r="K32" s="3" t="s">
        <v>6</v>
      </c>
      <c r="L32" s="5"/>
      <c r="M32" s="5">
        <v>36514</v>
      </c>
      <c r="N32" s="3" t="s">
        <v>7</v>
      </c>
      <c r="O32" s="3" t="s">
        <v>8</v>
      </c>
      <c r="P32" s="3" t="s">
        <v>6</v>
      </c>
      <c r="Q32" s="3" t="s">
        <v>6</v>
      </c>
      <c r="R32" s="10">
        <v>0</v>
      </c>
      <c r="S32" s="10">
        <v>45.919648590000001</v>
      </c>
      <c r="T32" s="10">
        <v>0</v>
      </c>
      <c r="U32" s="10">
        <v>0</v>
      </c>
      <c r="V32" s="10">
        <v>196.1</v>
      </c>
      <c r="W32" s="10">
        <v>11.72929399</v>
      </c>
      <c r="X32">
        <v>0</v>
      </c>
      <c r="Y32" s="10">
        <f t="shared" si="0"/>
        <v>45.919648590000001</v>
      </c>
      <c r="Z32" s="10">
        <f t="shared" si="1"/>
        <v>11.72929399</v>
      </c>
    </row>
    <row r="33" spans="1:26" x14ac:dyDescent="0.2">
      <c r="A33" s="3" t="s">
        <v>74</v>
      </c>
      <c r="B33" s="3" t="s">
        <v>75</v>
      </c>
      <c r="C33" s="3" t="s">
        <v>11</v>
      </c>
      <c r="D33" s="3" t="s">
        <v>3</v>
      </c>
      <c r="E33" s="3" t="s">
        <v>4</v>
      </c>
      <c r="F33" s="4">
        <v>23.666</v>
      </c>
      <c r="G33" s="4">
        <v>23.666</v>
      </c>
      <c r="H33" s="5">
        <v>45097</v>
      </c>
      <c r="I33" s="3" t="s">
        <v>5</v>
      </c>
      <c r="J33" s="3" t="s">
        <v>6</v>
      </c>
      <c r="K33" s="3" t="s">
        <v>6</v>
      </c>
      <c r="L33" s="5"/>
      <c r="M33" s="5">
        <v>36514</v>
      </c>
      <c r="N33" s="3" t="s">
        <v>7</v>
      </c>
      <c r="O33" s="3" t="s">
        <v>8</v>
      </c>
      <c r="P33" s="3" t="s">
        <v>6</v>
      </c>
      <c r="Q33" s="3" t="s">
        <v>6</v>
      </c>
      <c r="R33" s="10">
        <v>0</v>
      </c>
      <c r="S33" s="10">
        <v>45.643860400000001</v>
      </c>
      <c r="T33" s="10">
        <v>0</v>
      </c>
      <c r="U33" s="10">
        <v>0</v>
      </c>
      <c r="V33" s="10">
        <v>49.4</v>
      </c>
      <c r="W33" s="10">
        <v>11.7898762</v>
      </c>
      <c r="X33">
        <v>0</v>
      </c>
      <c r="Y33" s="10">
        <f t="shared" si="0"/>
        <v>45.643860400000001</v>
      </c>
      <c r="Z33" s="10">
        <f t="shared" si="1"/>
        <v>11.7898762</v>
      </c>
    </row>
    <row r="34" spans="1:26" x14ac:dyDescent="0.2">
      <c r="A34" s="3" t="s">
        <v>76</v>
      </c>
      <c r="B34" s="3" t="s">
        <v>77</v>
      </c>
      <c r="C34" s="3" t="s">
        <v>11</v>
      </c>
      <c r="D34" s="3" t="s">
        <v>3</v>
      </c>
      <c r="E34" s="3" t="s">
        <v>4</v>
      </c>
      <c r="F34" s="4">
        <v>58.42</v>
      </c>
      <c r="G34" s="4">
        <v>58.42</v>
      </c>
      <c r="H34" s="5">
        <v>45349</v>
      </c>
      <c r="I34" s="3" t="s">
        <v>21</v>
      </c>
      <c r="J34" s="3" t="s">
        <v>6</v>
      </c>
      <c r="K34" s="3" t="s">
        <v>6</v>
      </c>
      <c r="L34" s="5">
        <v>39037</v>
      </c>
      <c r="M34" s="5">
        <v>39646</v>
      </c>
      <c r="N34" s="3" t="s">
        <v>7</v>
      </c>
      <c r="O34" s="3" t="s">
        <v>8</v>
      </c>
      <c r="P34" s="3" t="s">
        <v>6</v>
      </c>
      <c r="Q34" s="3" t="s">
        <v>6</v>
      </c>
      <c r="R34" s="10">
        <v>0</v>
      </c>
      <c r="S34" s="10">
        <v>45.66333779</v>
      </c>
      <c r="T34" s="10">
        <v>0</v>
      </c>
      <c r="U34" s="10">
        <v>0</v>
      </c>
      <c r="V34" s="10">
        <v>15.7</v>
      </c>
      <c r="W34" s="10">
        <v>12.22573719</v>
      </c>
      <c r="X34">
        <v>0</v>
      </c>
      <c r="Y34" s="10">
        <f t="shared" si="0"/>
        <v>45.66333779</v>
      </c>
      <c r="Z34" s="10">
        <f t="shared" si="1"/>
        <v>12.22573719</v>
      </c>
    </row>
    <row r="35" spans="1:26" x14ac:dyDescent="0.2">
      <c r="A35" s="3" t="s">
        <v>78</v>
      </c>
      <c r="B35" s="3" t="s">
        <v>79</v>
      </c>
      <c r="C35" s="3" t="s">
        <v>11</v>
      </c>
      <c r="D35" s="3" t="s">
        <v>3</v>
      </c>
      <c r="E35" s="3" t="s">
        <v>4</v>
      </c>
      <c r="F35" s="4">
        <v>47.860999999999997</v>
      </c>
      <c r="G35" s="4">
        <v>47.860999999999997</v>
      </c>
      <c r="H35" s="5">
        <v>45422</v>
      </c>
      <c r="I35" s="3" t="s">
        <v>5</v>
      </c>
      <c r="J35" s="3" t="s">
        <v>6</v>
      </c>
      <c r="K35" s="3" t="s">
        <v>6</v>
      </c>
      <c r="L35" s="5"/>
      <c r="M35" s="5">
        <v>36514</v>
      </c>
      <c r="N35" s="3" t="s">
        <v>7</v>
      </c>
      <c r="O35" s="3" t="s">
        <v>8</v>
      </c>
      <c r="P35" s="3" t="s">
        <v>6</v>
      </c>
      <c r="Q35" s="3" t="s">
        <v>6</v>
      </c>
      <c r="R35" s="10">
        <v>0</v>
      </c>
      <c r="S35" s="10">
        <v>45.88469379</v>
      </c>
      <c r="T35" s="10">
        <v>0</v>
      </c>
      <c r="U35" s="10">
        <v>0</v>
      </c>
      <c r="V35" s="10">
        <v>62.6</v>
      </c>
      <c r="W35" s="10">
        <v>12.298925690000001</v>
      </c>
      <c r="X35">
        <v>0</v>
      </c>
      <c r="Y35" s="10">
        <f t="shared" si="0"/>
        <v>45.88469379</v>
      </c>
      <c r="Z35" s="10">
        <f t="shared" si="1"/>
        <v>12.298925690000001</v>
      </c>
    </row>
    <row r="36" spans="1:26" x14ac:dyDescent="0.2">
      <c r="A36" s="3" t="s">
        <v>80</v>
      </c>
      <c r="B36" s="3" t="s">
        <v>81</v>
      </c>
      <c r="C36" s="3" t="s">
        <v>2</v>
      </c>
      <c r="D36" s="3" t="s">
        <v>3</v>
      </c>
      <c r="E36" s="3" t="s">
        <v>4</v>
      </c>
      <c r="F36" s="4">
        <v>1.355</v>
      </c>
      <c r="G36" s="4">
        <v>1.355</v>
      </c>
      <c r="H36" s="5">
        <v>44111</v>
      </c>
      <c r="I36" s="3" t="s">
        <v>12</v>
      </c>
      <c r="J36" s="3" t="s">
        <v>6</v>
      </c>
      <c r="K36" s="3" t="s">
        <v>6</v>
      </c>
      <c r="L36" s="5"/>
      <c r="M36" s="5">
        <v>36514</v>
      </c>
      <c r="N36" s="3" t="s">
        <v>7</v>
      </c>
      <c r="O36" s="3" t="s">
        <v>8</v>
      </c>
      <c r="P36" s="3" t="s">
        <v>6</v>
      </c>
      <c r="Q36" s="3" t="s">
        <v>6</v>
      </c>
      <c r="R36" s="10">
        <v>0</v>
      </c>
      <c r="S36" s="10">
        <v>45.486904099999997</v>
      </c>
      <c r="T36" s="10">
        <v>0</v>
      </c>
      <c r="U36" s="10">
        <v>0</v>
      </c>
      <c r="V36" s="10">
        <v>4</v>
      </c>
      <c r="W36" s="10">
        <v>12.22319469</v>
      </c>
      <c r="X36">
        <v>0</v>
      </c>
      <c r="Y36" s="10">
        <f t="shared" si="0"/>
        <v>45.486904099999997</v>
      </c>
      <c r="Z36" s="10">
        <f t="shared" si="1"/>
        <v>12.22319469</v>
      </c>
    </row>
    <row r="37" spans="1:26" x14ac:dyDescent="0.2">
      <c r="A37" s="3" t="s">
        <v>82</v>
      </c>
      <c r="B37" s="3" t="s">
        <v>83</v>
      </c>
      <c r="C37" s="3" t="s">
        <v>11</v>
      </c>
      <c r="D37" s="3" t="s">
        <v>3</v>
      </c>
      <c r="E37" s="3" t="s">
        <v>4</v>
      </c>
      <c r="F37" s="4">
        <v>27.331</v>
      </c>
      <c r="G37" s="4">
        <v>27.331</v>
      </c>
      <c r="H37" s="5">
        <v>44111</v>
      </c>
      <c r="I37" s="3" t="s">
        <v>12</v>
      </c>
      <c r="J37" s="3" t="s">
        <v>6</v>
      </c>
      <c r="K37" s="3" t="s">
        <v>6</v>
      </c>
      <c r="L37" s="5"/>
      <c r="M37" s="5">
        <v>36514</v>
      </c>
      <c r="N37" s="3" t="s">
        <v>7</v>
      </c>
      <c r="O37" s="3" t="s">
        <v>8</v>
      </c>
      <c r="P37" s="3" t="s">
        <v>6</v>
      </c>
      <c r="Q37" s="3" t="s">
        <v>6</v>
      </c>
      <c r="R37" s="10">
        <v>0</v>
      </c>
      <c r="S37" s="10">
        <v>45.833832289999997</v>
      </c>
      <c r="T37" s="10">
        <v>0</v>
      </c>
      <c r="U37" s="10">
        <v>0</v>
      </c>
      <c r="V37" s="10">
        <v>160.9</v>
      </c>
      <c r="W37" s="10">
        <v>12.012903789999999</v>
      </c>
      <c r="X37">
        <v>0</v>
      </c>
      <c r="Y37" s="10">
        <f t="shared" si="0"/>
        <v>45.833832289999997</v>
      </c>
      <c r="Z37" s="10">
        <f t="shared" si="1"/>
        <v>12.012903789999999</v>
      </c>
    </row>
    <row r="38" spans="1:26" x14ac:dyDescent="0.2">
      <c r="A38" s="3" t="s">
        <v>84</v>
      </c>
      <c r="B38" s="3" t="s">
        <v>85</v>
      </c>
      <c r="C38" s="3" t="s">
        <v>2</v>
      </c>
      <c r="D38" s="3" t="s">
        <v>3</v>
      </c>
      <c r="E38" s="3" t="s">
        <v>4</v>
      </c>
      <c r="F38" s="4">
        <v>244.89699999999999</v>
      </c>
      <c r="G38" s="4">
        <v>244.89699999999999</v>
      </c>
      <c r="H38" s="5">
        <v>44861</v>
      </c>
      <c r="I38" s="3" t="s">
        <v>5</v>
      </c>
      <c r="J38" s="3" t="s">
        <v>6</v>
      </c>
      <c r="K38" s="3" t="s">
        <v>6</v>
      </c>
      <c r="L38" s="5"/>
      <c r="M38" s="5">
        <v>36514</v>
      </c>
      <c r="N38" s="3" t="s">
        <v>7</v>
      </c>
      <c r="O38" s="3" t="s">
        <v>8</v>
      </c>
      <c r="P38" s="3" t="s">
        <v>6</v>
      </c>
      <c r="Q38" s="3" t="s">
        <v>6</v>
      </c>
      <c r="R38" s="10">
        <v>0</v>
      </c>
      <c r="S38" s="10">
        <v>45.453459590000001</v>
      </c>
      <c r="T38" s="10">
        <v>0</v>
      </c>
      <c r="U38" s="10">
        <v>0</v>
      </c>
      <c r="V38" s="10">
        <v>7.1</v>
      </c>
      <c r="W38" s="10">
        <v>12.07161689</v>
      </c>
      <c r="X38">
        <v>0</v>
      </c>
      <c r="Y38" s="10">
        <f t="shared" si="0"/>
        <v>45.453459590000001</v>
      </c>
      <c r="Z38" s="10">
        <f t="shared" si="1"/>
        <v>12.07161689</v>
      </c>
    </row>
    <row r="39" spans="1:26" x14ac:dyDescent="0.2">
      <c r="A39" s="3" t="s">
        <v>86</v>
      </c>
      <c r="B39" s="3" t="s">
        <v>87</v>
      </c>
      <c r="C39" s="3" t="s">
        <v>11</v>
      </c>
      <c r="D39" s="3" t="s">
        <v>3</v>
      </c>
      <c r="E39" s="3" t="s">
        <v>4</v>
      </c>
      <c r="F39" s="4">
        <v>99.748999999999995</v>
      </c>
      <c r="G39" s="4">
        <v>99.748999999999995</v>
      </c>
      <c r="H39" s="5">
        <v>45349</v>
      </c>
      <c r="I39" s="3" t="s">
        <v>21</v>
      </c>
      <c r="J39" s="3" t="s">
        <v>6</v>
      </c>
      <c r="K39" s="3" t="s">
        <v>6</v>
      </c>
      <c r="L39" s="5">
        <v>39220</v>
      </c>
      <c r="M39" s="5">
        <v>36514</v>
      </c>
      <c r="N39" s="3" t="s">
        <v>7</v>
      </c>
      <c r="O39" s="3" t="s">
        <v>8</v>
      </c>
      <c r="P39" s="3" t="s">
        <v>6</v>
      </c>
      <c r="Q39" s="3" t="s">
        <v>6</v>
      </c>
      <c r="R39" s="10">
        <v>0</v>
      </c>
      <c r="S39" s="10">
        <v>46.239433089999999</v>
      </c>
      <c r="T39" s="10">
        <v>0</v>
      </c>
      <c r="U39" s="10">
        <v>0</v>
      </c>
      <c r="V39" s="10">
        <v>446.2</v>
      </c>
      <c r="W39" s="10">
        <v>12.29413529</v>
      </c>
      <c r="X39">
        <v>0</v>
      </c>
      <c r="Y39" s="10">
        <f t="shared" si="0"/>
        <v>46.239433089999999</v>
      </c>
      <c r="Z39" s="10">
        <f t="shared" si="1"/>
        <v>12.29413529</v>
      </c>
    </row>
    <row r="40" spans="1:26" x14ac:dyDescent="0.2">
      <c r="A40" s="3" t="s">
        <v>88</v>
      </c>
      <c r="B40" s="3" t="s">
        <v>89</v>
      </c>
      <c r="C40" s="3" t="s">
        <v>11</v>
      </c>
      <c r="D40" s="3" t="s">
        <v>3</v>
      </c>
      <c r="E40" s="3" t="s">
        <v>4</v>
      </c>
      <c r="F40" s="4">
        <v>18.754000000000001</v>
      </c>
      <c r="G40" s="4">
        <v>18.754000000000001</v>
      </c>
      <c r="H40" s="5">
        <v>44762</v>
      </c>
      <c r="I40" s="3" t="s">
        <v>5</v>
      </c>
      <c r="J40" s="3" t="s">
        <v>6</v>
      </c>
      <c r="K40" s="3" t="s">
        <v>6</v>
      </c>
      <c r="L40" s="5"/>
      <c r="M40" s="5">
        <v>36514</v>
      </c>
      <c r="N40" s="3" t="s">
        <v>7</v>
      </c>
      <c r="O40" s="3" t="s">
        <v>8</v>
      </c>
      <c r="P40" s="3" t="s">
        <v>6</v>
      </c>
      <c r="Q40" s="3" t="s">
        <v>6</v>
      </c>
      <c r="R40" s="10">
        <v>0</v>
      </c>
      <c r="S40" s="10">
        <v>45.708244989999997</v>
      </c>
      <c r="T40" s="10">
        <v>0</v>
      </c>
      <c r="U40" s="10">
        <v>0</v>
      </c>
      <c r="V40" s="10">
        <v>60.3</v>
      </c>
      <c r="W40" s="10">
        <v>11.99208769</v>
      </c>
      <c r="X40">
        <v>0</v>
      </c>
      <c r="Y40" s="10">
        <f t="shared" si="0"/>
        <v>45.708244989999997</v>
      </c>
      <c r="Z40" s="10">
        <f t="shared" si="1"/>
        <v>11.99208769</v>
      </c>
    </row>
    <row r="41" spans="1:26" x14ac:dyDescent="0.2">
      <c r="A41" s="3" t="s">
        <v>90</v>
      </c>
      <c r="B41" s="3" t="s">
        <v>91</v>
      </c>
      <c r="C41" s="3" t="s">
        <v>11</v>
      </c>
      <c r="D41" s="3" t="s">
        <v>3</v>
      </c>
      <c r="E41" s="3" t="s">
        <v>4</v>
      </c>
      <c r="F41" s="4">
        <v>54.56</v>
      </c>
      <c r="G41" s="4">
        <v>54.56</v>
      </c>
      <c r="H41" s="5">
        <v>45169</v>
      </c>
      <c r="I41" s="3" t="s">
        <v>5</v>
      </c>
      <c r="J41" s="3" t="s">
        <v>6</v>
      </c>
      <c r="K41" s="3" t="s">
        <v>6</v>
      </c>
      <c r="L41" s="5"/>
      <c r="M41" s="5">
        <v>36514</v>
      </c>
      <c r="N41" s="3" t="s">
        <v>7</v>
      </c>
      <c r="O41" s="3" t="s">
        <v>8</v>
      </c>
      <c r="P41" s="3" t="s">
        <v>6</v>
      </c>
      <c r="Q41" s="3" t="s">
        <v>6</v>
      </c>
      <c r="R41" s="10">
        <v>0</v>
      </c>
      <c r="S41" s="10">
        <v>46.012875690000001</v>
      </c>
      <c r="T41" s="10">
        <v>0</v>
      </c>
      <c r="U41" s="10">
        <v>0</v>
      </c>
      <c r="V41" s="10">
        <v>253.8</v>
      </c>
      <c r="W41" s="10">
        <v>11.91151889</v>
      </c>
      <c r="X41">
        <v>0</v>
      </c>
      <c r="Y41" s="10">
        <f t="shared" si="0"/>
        <v>46.012875690000001</v>
      </c>
      <c r="Z41" s="10">
        <f t="shared" si="1"/>
        <v>11.91151889</v>
      </c>
    </row>
    <row r="42" spans="1:26" x14ac:dyDescent="0.2">
      <c r="A42" s="3" t="s">
        <v>92</v>
      </c>
      <c r="B42" s="3" t="s">
        <v>93</v>
      </c>
      <c r="C42" s="3" t="s">
        <v>11</v>
      </c>
      <c r="D42" s="3" t="s">
        <v>3</v>
      </c>
      <c r="E42" s="3" t="s">
        <v>4</v>
      </c>
      <c r="F42" s="4">
        <v>19.962</v>
      </c>
      <c r="G42" s="4">
        <v>19.962</v>
      </c>
      <c r="H42" s="5">
        <v>44111</v>
      </c>
      <c r="I42" s="3" t="s">
        <v>12</v>
      </c>
      <c r="J42" s="3" t="s">
        <v>6</v>
      </c>
      <c r="K42" s="3" t="s">
        <v>6</v>
      </c>
      <c r="L42" s="5"/>
      <c r="M42" s="5">
        <v>36514</v>
      </c>
      <c r="N42" s="3" t="s">
        <v>7</v>
      </c>
      <c r="O42" s="3" t="s">
        <v>8</v>
      </c>
      <c r="P42" s="3" t="s">
        <v>6</v>
      </c>
      <c r="Q42" s="3" t="s">
        <v>6</v>
      </c>
      <c r="R42" s="10">
        <v>0</v>
      </c>
      <c r="S42" s="10">
        <v>45.634713589999997</v>
      </c>
      <c r="T42" s="10">
        <v>0</v>
      </c>
      <c r="U42" s="10">
        <v>0</v>
      </c>
      <c r="V42" s="10">
        <v>44.1</v>
      </c>
      <c r="W42" s="10">
        <v>11.749049189999999</v>
      </c>
      <c r="X42">
        <v>0</v>
      </c>
      <c r="Y42" s="10">
        <f t="shared" si="0"/>
        <v>45.634713589999997</v>
      </c>
      <c r="Z42" s="10">
        <f t="shared" si="1"/>
        <v>11.749049189999999</v>
      </c>
    </row>
    <row r="43" spans="1:26" x14ac:dyDescent="0.2">
      <c r="A43" s="3" t="s">
        <v>94</v>
      </c>
      <c r="B43" s="3" t="s">
        <v>95</v>
      </c>
      <c r="C43" s="3" t="s">
        <v>2</v>
      </c>
      <c r="D43" s="3" t="s">
        <v>3</v>
      </c>
      <c r="E43" s="3" t="s">
        <v>4</v>
      </c>
      <c r="F43" s="4">
        <v>27.79</v>
      </c>
      <c r="G43" s="4">
        <v>27.79</v>
      </c>
      <c r="H43" s="5">
        <v>44939</v>
      </c>
      <c r="I43" s="3" t="s">
        <v>5</v>
      </c>
      <c r="J43" s="3" t="s">
        <v>6</v>
      </c>
      <c r="K43" s="3" t="s">
        <v>6</v>
      </c>
      <c r="L43" s="5"/>
      <c r="M43" s="5">
        <v>36514</v>
      </c>
      <c r="N43" s="3" t="s">
        <v>7</v>
      </c>
      <c r="O43" s="3" t="s">
        <v>8</v>
      </c>
      <c r="P43" s="3" t="s">
        <v>6</v>
      </c>
      <c r="Q43" s="3" t="s">
        <v>6</v>
      </c>
      <c r="R43" s="10">
        <v>0</v>
      </c>
      <c r="S43" s="10">
        <v>45.624204589999998</v>
      </c>
      <c r="T43" s="10">
        <v>0</v>
      </c>
      <c r="U43" s="10">
        <v>0</v>
      </c>
      <c r="V43" s="10">
        <v>2.9</v>
      </c>
      <c r="W43" s="10">
        <v>12.50040379</v>
      </c>
      <c r="X43">
        <v>0</v>
      </c>
      <c r="Y43" s="10">
        <f t="shared" si="0"/>
        <v>45.624204589999998</v>
      </c>
      <c r="Z43" s="10">
        <f t="shared" si="1"/>
        <v>12.50040379</v>
      </c>
    </row>
    <row r="44" spans="1:26" x14ac:dyDescent="0.2">
      <c r="A44" s="3" t="s">
        <v>96</v>
      </c>
      <c r="B44" s="3" t="s">
        <v>97</v>
      </c>
      <c r="C44" s="3" t="s">
        <v>11</v>
      </c>
      <c r="D44" s="3" t="s">
        <v>3</v>
      </c>
      <c r="E44" s="3" t="s">
        <v>4</v>
      </c>
      <c r="F44" s="4">
        <v>26.207000000000001</v>
      </c>
      <c r="G44" s="4">
        <v>26.207000000000001</v>
      </c>
      <c r="H44" s="5">
        <v>44111</v>
      </c>
      <c r="I44" s="3" t="s">
        <v>12</v>
      </c>
      <c r="J44" s="3" t="s">
        <v>6</v>
      </c>
      <c r="K44" s="3" t="s">
        <v>6</v>
      </c>
      <c r="L44" s="5"/>
      <c r="M44" s="5">
        <v>36514</v>
      </c>
      <c r="N44" s="3" t="s">
        <v>7</v>
      </c>
      <c r="O44" s="3" t="s">
        <v>8</v>
      </c>
      <c r="P44" s="3" t="s">
        <v>6</v>
      </c>
      <c r="Q44" s="3" t="s">
        <v>6</v>
      </c>
      <c r="R44" s="10">
        <v>0</v>
      </c>
      <c r="S44" s="10">
        <v>45.585838889999998</v>
      </c>
      <c r="T44" s="10">
        <v>0</v>
      </c>
      <c r="U44" s="10">
        <v>0</v>
      </c>
      <c r="V44" s="10">
        <v>26.3</v>
      </c>
      <c r="W44" s="10">
        <v>11.906647189999999</v>
      </c>
      <c r="X44">
        <v>0</v>
      </c>
      <c r="Y44" s="10">
        <f t="shared" si="0"/>
        <v>45.585838889999998</v>
      </c>
      <c r="Z44" s="10">
        <f t="shared" si="1"/>
        <v>11.906647189999999</v>
      </c>
    </row>
    <row r="45" spans="1:26" x14ac:dyDescent="0.2">
      <c r="A45" s="3" t="s">
        <v>98</v>
      </c>
      <c r="B45" s="3" t="s">
        <v>99</v>
      </c>
      <c r="C45" s="3" t="s">
        <v>2</v>
      </c>
      <c r="D45" s="3" t="s">
        <v>3</v>
      </c>
      <c r="E45" s="3" t="s">
        <v>4</v>
      </c>
      <c r="F45" s="4">
        <v>10.715</v>
      </c>
      <c r="G45" s="4">
        <v>10.715</v>
      </c>
      <c r="H45" s="5">
        <v>45349</v>
      </c>
      <c r="I45" s="3" t="s">
        <v>21</v>
      </c>
      <c r="J45" s="3" t="s">
        <v>6</v>
      </c>
      <c r="K45" s="3" t="s">
        <v>6</v>
      </c>
      <c r="L45" s="5">
        <v>39796</v>
      </c>
      <c r="M45" s="5">
        <v>39946</v>
      </c>
      <c r="N45" s="3" t="s">
        <v>7</v>
      </c>
      <c r="O45" s="3" t="s">
        <v>8</v>
      </c>
      <c r="P45" s="3" t="s">
        <v>6</v>
      </c>
      <c r="Q45" s="3" t="s">
        <v>6</v>
      </c>
      <c r="R45" s="10">
        <v>0</v>
      </c>
      <c r="S45" s="10">
        <v>45.54558299</v>
      </c>
      <c r="T45" s="10">
        <v>0</v>
      </c>
      <c r="U45" s="10">
        <v>0</v>
      </c>
      <c r="V45" s="10">
        <v>3.3</v>
      </c>
      <c r="W45" s="10">
        <v>12.31496319</v>
      </c>
      <c r="X45">
        <v>0</v>
      </c>
      <c r="Y45" s="10">
        <f t="shared" si="0"/>
        <v>45.54558299</v>
      </c>
      <c r="Z45" s="10">
        <f t="shared" si="1"/>
        <v>12.31496319</v>
      </c>
    </row>
    <row r="46" spans="1:26" x14ac:dyDescent="0.2">
      <c r="A46" s="3" t="s">
        <v>100</v>
      </c>
      <c r="B46" s="3" t="s">
        <v>101</v>
      </c>
      <c r="C46" s="3" t="s">
        <v>11</v>
      </c>
      <c r="D46" s="3" t="s">
        <v>3</v>
      </c>
      <c r="E46" s="3" t="s">
        <v>4</v>
      </c>
      <c r="F46" s="4">
        <v>27.132999999999999</v>
      </c>
      <c r="G46" s="4">
        <v>27.132999999999999</v>
      </c>
      <c r="H46" s="5">
        <v>44111</v>
      </c>
      <c r="I46" s="3" t="s">
        <v>12</v>
      </c>
      <c r="J46" s="3" t="s">
        <v>6</v>
      </c>
      <c r="K46" s="3" t="s">
        <v>6</v>
      </c>
      <c r="L46" s="5"/>
      <c r="M46" s="5">
        <v>36514</v>
      </c>
      <c r="N46" s="3" t="s">
        <v>7</v>
      </c>
      <c r="O46" s="3" t="s">
        <v>8</v>
      </c>
      <c r="P46" s="3" t="s">
        <v>6</v>
      </c>
      <c r="Q46" s="3" t="s">
        <v>6</v>
      </c>
      <c r="R46" s="10">
        <v>0</v>
      </c>
      <c r="S46" s="10">
        <v>45.652890290000002</v>
      </c>
      <c r="T46" s="10">
        <v>0</v>
      </c>
      <c r="U46" s="10">
        <v>0</v>
      </c>
      <c r="V46" s="10">
        <v>46.5</v>
      </c>
      <c r="W46" s="10">
        <v>11.82808479</v>
      </c>
      <c r="X46">
        <v>0</v>
      </c>
      <c r="Y46" s="10">
        <f t="shared" si="0"/>
        <v>45.652890290000002</v>
      </c>
      <c r="Z46" s="10">
        <f t="shared" si="1"/>
        <v>11.82808479</v>
      </c>
    </row>
    <row r="47" spans="1:26" x14ac:dyDescent="0.2">
      <c r="A47" s="3" t="s">
        <v>102</v>
      </c>
      <c r="B47" s="3" t="s">
        <v>103</v>
      </c>
      <c r="C47" s="3" t="s">
        <v>2</v>
      </c>
      <c r="D47" s="3" t="s">
        <v>3</v>
      </c>
      <c r="E47" s="3" t="s">
        <v>4</v>
      </c>
      <c r="F47" s="4">
        <v>214.06800000000001</v>
      </c>
      <c r="G47" s="4">
        <v>214.06800000000001</v>
      </c>
      <c r="H47" s="5">
        <v>45328</v>
      </c>
      <c r="I47" s="3" t="s">
        <v>5</v>
      </c>
      <c r="J47" s="3" t="s">
        <v>6</v>
      </c>
      <c r="K47" s="3" t="s">
        <v>6</v>
      </c>
      <c r="L47" s="5"/>
      <c r="M47" s="5">
        <v>36514</v>
      </c>
      <c r="N47" s="3" t="s">
        <v>7</v>
      </c>
      <c r="O47" s="3" t="s">
        <v>8</v>
      </c>
      <c r="P47" s="3" t="s">
        <v>6</v>
      </c>
      <c r="Q47" s="3" t="s">
        <v>6</v>
      </c>
      <c r="R47" s="10">
        <v>0</v>
      </c>
      <c r="S47" s="10">
        <v>45.486377089999998</v>
      </c>
      <c r="T47" s="10">
        <v>0</v>
      </c>
      <c r="U47" s="10">
        <v>0</v>
      </c>
      <c r="V47" s="10">
        <v>24.6</v>
      </c>
      <c r="W47" s="10">
        <v>11.71076609</v>
      </c>
      <c r="X47">
        <v>0</v>
      </c>
      <c r="Y47" s="10">
        <f t="shared" si="0"/>
        <v>45.486377089999998</v>
      </c>
      <c r="Z47" s="10">
        <f t="shared" si="1"/>
        <v>11.71076609</v>
      </c>
    </row>
    <row r="48" spans="1:26" x14ac:dyDescent="0.2">
      <c r="A48" s="3" t="s">
        <v>104</v>
      </c>
      <c r="B48" s="3" t="s">
        <v>105</v>
      </c>
      <c r="C48" s="3" t="s">
        <v>11</v>
      </c>
      <c r="D48" s="3" t="s">
        <v>3</v>
      </c>
      <c r="E48" s="3" t="s">
        <v>4</v>
      </c>
      <c r="F48" s="4">
        <v>48.734000000000002</v>
      </c>
      <c r="G48" s="4">
        <v>48.734000000000002</v>
      </c>
      <c r="H48" s="5">
        <v>44508</v>
      </c>
      <c r="I48" s="3" t="s">
        <v>5</v>
      </c>
      <c r="J48" s="3" t="s">
        <v>6</v>
      </c>
      <c r="K48" s="3" t="s">
        <v>6</v>
      </c>
      <c r="L48" s="5"/>
      <c r="M48" s="5">
        <v>36514</v>
      </c>
      <c r="N48" s="3" t="s">
        <v>7</v>
      </c>
      <c r="O48" s="3" t="s">
        <v>8</v>
      </c>
      <c r="P48" s="3" t="s">
        <v>6</v>
      </c>
      <c r="Q48" s="3" t="s">
        <v>6</v>
      </c>
      <c r="R48" s="10">
        <v>0</v>
      </c>
      <c r="S48" s="10">
        <v>45.676526590000002</v>
      </c>
      <c r="T48" s="10">
        <v>0</v>
      </c>
      <c r="U48" s="10">
        <v>0</v>
      </c>
      <c r="V48" s="10">
        <v>37.5</v>
      </c>
      <c r="W48" s="10">
        <v>12.102797389999999</v>
      </c>
      <c r="X48">
        <v>0</v>
      </c>
      <c r="Y48" s="10">
        <f t="shared" si="0"/>
        <v>45.676526590000002</v>
      </c>
      <c r="Z48" s="10">
        <f t="shared" si="1"/>
        <v>12.102797389999999</v>
      </c>
    </row>
    <row r="49" spans="1:26" x14ac:dyDescent="0.2">
      <c r="A49" s="3" t="s">
        <v>106</v>
      </c>
      <c r="B49" s="3" t="s">
        <v>107</v>
      </c>
      <c r="C49" s="3" t="s">
        <v>2</v>
      </c>
      <c r="D49" s="3" t="s">
        <v>3</v>
      </c>
      <c r="E49" s="3" t="s">
        <v>4</v>
      </c>
      <c r="F49" s="4">
        <v>12.968</v>
      </c>
      <c r="G49" s="4">
        <v>12.968</v>
      </c>
      <c r="H49" s="5">
        <v>44235</v>
      </c>
      <c r="I49" s="3" t="s">
        <v>5</v>
      </c>
      <c r="J49" s="3" t="s">
        <v>6</v>
      </c>
      <c r="K49" s="3" t="s">
        <v>6</v>
      </c>
      <c r="L49" s="5"/>
      <c r="M49" s="5">
        <v>36514</v>
      </c>
      <c r="N49" s="3" t="s">
        <v>7</v>
      </c>
      <c r="O49" s="3" t="s">
        <v>8</v>
      </c>
      <c r="P49" s="3" t="s">
        <v>6</v>
      </c>
      <c r="Q49" s="3" t="s">
        <v>6</v>
      </c>
      <c r="R49" s="10">
        <v>0</v>
      </c>
      <c r="S49" s="10">
        <v>45.043459489999996</v>
      </c>
      <c r="T49" s="10">
        <v>0</v>
      </c>
      <c r="U49" s="10">
        <v>0</v>
      </c>
      <c r="V49" s="10">
        <v>2.4</v>
      </c>
      <c r="W49" s="10">
        <v>11.913137389999999</v>
      </c>
      <c r="X49">
        <v>0</v>
      </c>
      <c r="Y49" s="10">
        <f t="shared" si="0"/>
        <v>45.043459489999996</v>
      </c>
      <c r="Z49" s="10">
        <f t="shared" si="1"/>
        <v>11.913137389999999</v>
      </c>
    </row>
    <row r="50" spans="1:26" x14ac:dyDescent="0.2">
      <c r="A50" s="3" t="s">
        <v>108</v>
      </c>
      <c r="B50" s="3" t="s">
        <v>109</v>
      </c>
      <c r="C50" s="3" t="s">
        <v>11</v>
      </c>
      <c r="D50" s="3" t="s">
        <v>3</v>
      </c>
      <c r="E50" s="3" t="s">
        <v>4</v>
      </c>
      <c r="F50" s="4">
        <v>27.212</v>
      </c>
      <c r="G50" s="4">
        <v>27.212</v>
      </c>
      <c r="H50" s="5">
        <v>45461</v>
      </c>
      <c r="I50" s="3" t="s">
        <v>5</v>
      </c>
      <c r="J50" s="3" t="s">
        <v>6</v>
      </c>
      <c r="K50" s="3" t="s">
        <v>6</v>
      </c>
      <c r="L50" s="5"/>
      <c r="M50" s="5">
        <v>36514</v>
      </c>
      <c r="N50" s="3" t="s">
        <v>7</v>
      </c>
      <c r="O50" s="3" t="s">
        <v>8</v>
      </c>
      <c r="P50" s="3" t="s">
        <v>6</v>
      </c>
      <c r="Q50" s="3" t="s">
        <v>6</v>
      </c>
      <c r="R50" s="10">
        <v>0</v>
      </c>
      <c r="S50" s="10">
        <v>45.710080089999998</v>
      </c>
      <c r="T50" s="10">
        <v>0</v>
      </c>
      <c r="U50" s="10">
        <v>0</v>
      </c>
      <c r="V50" s="10">
        <v>27.5</v>
      </c>
      <c r="W50" s="10">
        <v>12.26567199</v>
      </c>
      <c r="X50">
        <v>0</v>
      </c>
      <c r="Y50" s="10">
        <f t="shared" si="0"/>
        <v>45.710080089999998</v>
      </c>
      <c r="Z50" s="10">
        <f t="shared" si="1"/>
        <v>12.26567199</v>
      </c>
    </row>
    <row r="51" spans="1:26" x14ac:dyDescent="0.2">
      <c r="A51" s="3" t="s">
        <v>110</v>
      </c>
      <c r="B51" s="3" t="s">
        <v>111</v>
      </c>
      <c r="C51" s="3" t="s">
        <v>2</v>
      </c>
      <c r="D51" s="3" t="s">
        <v>3</v>
      </c>
      <c r="E51" s="3" t="s">
        <v>4</v>
      </c>
      <c r="F51" s="4">
        <v>207.19200000000001</v>
      </c>
      <c r="G51" s="4">
        <v>207.19200000000001</v>
      </c>
      <c r="H51" s="5">
        <v>45349</v>
      </c>
      <c r="I51" s="3" t="s">
        <v>21</v>
      </c>
      <c r="J51" s="3" t="s">
        <v>6</v>
      </c>
      <c r="K51" s="3" t="s">
        <v>6</v>
      </c>
      <c r="L51" s="5">
        <v>38478</v>
      </c>
      <c r="M51" s="5">
        <v>36514</v>
      </c>
      <c r="N51" s="3" t="s">
        <v>7</v>
      </c>
      <c r="O51" s="3" t="s">
        <v>8</v>
      </c>
      <c r="P51" s="3" t="s">
        <v>6</v>
      </c>
      <c r="Q51" s="3" t="s">
        <v>6</v>
      </c>
      <c r="R51" s="10">
        <v>0</v>
      </c>
      <c r="S51" s="10">
        <v>45.518720190000003</v>
      </c>
      <c r="T51" s="10">
        <v>0</v>
      </c>
      <c r="U51" s="10">
        <v>0</v>
      </c>
      <c r="V51" s="10">
        <v>28.9</v>
      </c>
      <c r="W51" s="10">
        <v>11.63568209</v>
      </c>
      <c r="X51">
        <v>0</v>
      </c>
      <c r="Y51" s="10">
        <f t="shared" si="0"/>
        <v>45.518720190000003</v>
      </c>
      <c r="Z51" s="10">
        <f t="shared" si="1"/>
        <v>11.63568209</v>
      </c>
    </row>
    <row r="52" spans="1:26" x14ac:dyDescent="0.2">
      <c r="A52" s="3" t="s">
        <v>112</v>
      </c>
      <c r="B52" s="3" t="s">
        <v>113</v>
      </c>
      <c r="C52" s="3" t="s">
        <v>11</v>
      </c>
      <c r="D52" s="3" t="s">
        <v>3</v>
      </c>
      <c r="E52" s="3" t="s">
        <v>4</v>
      </c>
      <c r="F52" s="4">
        <v>29.201000000000001</v>
      </c>
      <c r="G52" s="4">
        <v>29.201000000000001</v>
      </c>
      <c r="H52" s="5">
        <v>44111</v>
      </c>
      <c r="I52" s="3" t="s">
        <v>12</v>
      </c>
      <c r="J52" s="3" t="s">
        <v>6</v>
      </c>
      <c r="K52" s="3" t="s">
        <v>6</v>
      </c>
      <c r="L52" s="5"/>
      <c r="M52" s="5">
        <v>36514</v>
      </c>
      <c r="N52" s="3" t="s">
        <v>7</v>
      </c>
      <c r="O52" s="3" t="s">
        <v>8</v>
      </c>
      <c r="P52" s="3" t="s">
        <v>6</v>
      </c>
      <c r="Q52" s="3" t="s">
        <v>6</v>
      </c>
      <c r="R52" s="10">
        <v>0</v>
      </c>
      <c r="S52" s="10">
        <v>45.850151889999999</v>
      </c>
      <c r="T52" s="10">
        <v>0</v>
      </c>
      <c r="U52" s="10">
        <v>0</v>
      </c>
      <c r="V52" s="10">
        <v>164.8</v>
      </c>
      <c r="W52" s="10">
        <v>12.00667739</v>
      </c>
      <c r="X52">
        <v>0</v>
      </c>
      <c r="Y52" s="10">
        <f t="shared" si="0"/>
        <v>45.850151889999999</v>
      </c>
      <c r="Z52" s="10">
        <f t="shared" si="1"/>
        <v>12.00667739</v>
      </c>
    </row>
    <row r="53" spans="1:26" x14ac:dyDescent="0.2">
      <c r="A53" s="3" t="s">
        <v>114</v>
      </c>
      <c r="B53" s="3" t="s">
        <v>115</v>
      </c>
      <c r="C53" s="3" t="s">
        <v>11</v>
      </c>
      <c r="D53" s="3" t="s">
        <v>3</v>
      </c>
      <c r="E53" s="3" t="s">
        <v>4</v>
      </c>
      <c r="F53" s="4">
        <v>7.492</v>
      </c>
      <c r="G53" s="4">
        <v>7.492</v>
      </c>
      <c r="H53" s="5">
        <v>45578</v>
      </c>
      <c r="I53" s="3" t="s">
        <v>5</v>
      </c>
      <c r="J53" s="3" t="s">
        <v>6</v>
      </c>
      <c r="K53" s="3" t="s">
        <v>6</v>
      </c>
      <c r="L53" s="5"/>
      <c r="M53" s="5">
        <v>36514</v>
      </c>
      <c r="N53" s="3" t="s">
        <v>7</v>
      </c>
      <c r="O53" s="3" t="s">
        <v>8</v>
      </c>
      <c r="P53" s="3" t="s">
        <v>6</v>
      </c>
      <c r="Q53" s="3" t="s">
        <v>6</v>
      </c>
      <c r="R53" s="10">
        <v>0</v>
      </c>
      <c r="S53" s="10">
        <v>45.578571490000002</v>
      </c>
      <c r="T53" s="10">
        <v>0</v>
      </c>
      <c r="U53" s="10">
        <v>0</v>
      </c>
      <c r="V53" s="10">
        <v>37.700000000000003</v>
      </c>
      <c r="W53" s="10">
        <v>11.61071289</v>
      </c>
      <c r="X53">
        <v>0</v>
      </c>
      <c r="Y53" s="10">
        <f t="shared" si="0"/>
        <v>45.578571490000002</v>
      </c>
      <c r="Z53" s="10">
        <f t="shared" si="1"/>
        <v>11.61071289</v>
      </c>
    </row>
    <row r="54" spans="1:26" x14ac:dyDescent="0.2">
      <c r="A54" s="3" t="s">
        <v>116</v>
      </c>
      <c r="B54" s="3" t="s">
        <v>117</v>
      </c>
      <c r="C54" s="3" t="s">
        <v>2</v>
      </c>
      <c r="D54" s="3" t="s">
        <v>3</v>
      </c>
      <c r="E54" s="3" t="s">
        <v>4</v>
      </c>
      <c r="F54" s="4">
        <v>52.83</v>
      </c>
      <c r="G54" s="4">
        <v>52.83</v>
      </c>
      <c r="H54" s="5">
        <v>44111</v>
      </c>
      <c r="I54" s="3" t="s">
        <v>12</v>
      </c>
      <c r="J54" s="3" t="s">
        <v>6</v>
      </c>
      <c r="K54" s="3" t="s">
        <v>6</v>
      </c>
      <c r="L54" s="5"/>
      <c r="M54" s="5">
        <v>36514</v>
      </c>
      <c r="N54" s="3" t="s">
        <v>7</v>
      </c>
      <c r="O54" s="3" t="s">
        <v>8</v>
      </c>
      <c r="P54" s="3" t="s">
        <v>6</v>
      </c>
      <c r="Q54" s="3" t="s">
        <v>6</v>
      </c>
      <c r="R54" s="10">
        <v>0</v>
      </c>
      <c r="S54" s="10">
        <v>45.751935090000003</v>
      </c>
      <c r="T54" s="10">
        <v>0</v>
      </c>
      <c r="U54" s="10">
        <v>0</v>
      </c>
      <c r="V54" s="10">
        <v>2.9</v>
      </c>
      <c r="W54" s="10">
        <v>12.759426189999999</v>
      </c>
      <c r="X54">
        <v>0</v>
      </c>
      <c r="Y54" s="10">
        <f t="shared" si="0"/>
        <v>45.751935090000003</v>
      </c>
      <c r="Z54" s="10">
        <f t="shared" si="1"/>
        <v>12.759426189999999</v>
      </c>
    </row>
    <row r="55" spans="1:26" x14ac:dyDescent="0.2">
      <c r="A55" s="3" t="s">
        <v>118</v>
      </c>
      <c r="B55" s="3" t="s">
        <v>119</v>
      </c>
      <c r="C55" s="3" t="s">
        <v>11</v>
      </c>
      <c r="D55" s="3" t="s">
        <v>3</v>
      </c>
      <c r="E55" s="3" t="s">
        <v>4</v>
      </c>
      <c r="F55" s="4">
        <v>103.033</v>
      </c>
      <c r="G55" s="4">
        <v>103.033</v>
      </c>
      <c r="H55" s="5">
        <v>44747</v>
      </c>
      <c r="I55" s="3" t="s">
        <v>5</v>
      </c>
      <c r="J55" s="3" t="s">
        <v>6</v>
      </c>
      <c r="K55" s="3" t="s">
        <v>6</v>
      </c>
      <c r="L55" s="5"/>
      <c r="M55" s="5">
        <v>36514</v>
      </c>
      <c r="N55" s="3" t="s">
        <v>7</v>
      </c>
      <c r="O55" s="3" t="s">
        <v>8</v>
      </c>
      <c r="P55" s="3" t="s">
        <v>6</v>
      </c>
      <c r="Q55" s="3" t="s">
        <v>6</v>
      </c>
      <c r="R55" s="10">
        <v>0</v>
      </c>
      <c r="S55" s="10">
        <v>46.267456189999997</v>
      </c>
      <c r="T55" s="10">
        <v>0</v>
      </c>
      <c r="U55" s="10">
        <v>0</v>
      </c>
      <c r="V55" s="10">
        <v>466.1</v>
      </c>
      <c r="W55" s="10">
        <v>12.301964890000001</v>
      </c>
      <c r="X55">
        <v>0</v>
      </c>
      <c r="Y55" s="10">
        <f t="shared" si="0"/>
        <v>46.267456189999997</v>
      </c>
      <c r="Z55" s="10">
        <f t="shared" si="1"/>
        <v>12.301964890000001</v>
      </c>
    </row>
    <row r="56" spans="1:26" x14ac:dyDescent="0.2">
      <c r="A56" s="3" t="s">
        <v>120</v>
      </c>
      <c r="B56" s="3" t="s">
        <v>121</v>
      </c>
      <c r="C56" s="3" t="s">
        <v>2</v>
      </c>
      <c r="D56" s="3" t="s">
        <v>3</v>
      </c>
      <c r="E56" s="3" t="s">
        <v>4</v>
      </c>
      <c r="F56" s="4">
        <v>35.642000000000003</v>
      </c>
      <c r="G56" s="4">
        <v>35.642000000000003</v>
      </c>
      <c r="H56" s="5">
        <v>44162</v>
      </c>
      <c r="I56" s="3" t="s">
        <v>5</v>
      </c>
      <c r="J56" s="3" t="s">
        <v>6</v>
      </c>
      <c r="K56" s="3" t="s">
        <v>6</v>
      </c>
      <c r="L56" s="5"/>
      <c r="M56" s="5">
        <v>36514</v>
      </c>
      <c r="N56" s="3" t="s">
        <v>7</v>
      </c>
      <c r="O56" s="3" t="s">
        <v>8</v>
      </c>
      <c r="P56" s="3" t="s">
        <v>6</v>
      </c>
      <c r="Q56" s="3" t="s">
        <v>6</v>
      </c>
      <c r="R56" s="10">
        <v>0</v>
      </c>
      <c r="S56" s="10">
        <v>45.059464890000001</v>
      </c>
      <c r="T56" s="10">
        <v>0</v>
      </c>
      <c r="U56" s="10">
        <v>0</v>
      </c>
      <c r="V56" s="10">
        <v>0.7</v>
      </c>
      <c r="W56" s="10">
        <v>12.19158399</v>
      </c>
      <c r="X56">
        <v>0</v>
      </c>
      <c r="Y56" s="10">
        <f t="shared" si="0"/>
        <v>45.059464890000001</v>
      </c>
      <c r="Z56" s="10">
        <f t="shared" si="1"/>
        <v>12.19158399</v>
      </c>
    </row>
    <row r="57" spans="1:26" x14ac:dyDescent="0.2">
      <c r="A57" s="3" t="s">
        <v>122</v>
      </c>
      <c r="B57" s="3" t="s">
        <v>123</v>
      </c>
      <c r="C57" s="3" t="s">
        <v>2</v>
      </c>
      <c r="D57" s="3" t="s">
        <v>3</v>
      </c>
      <c r="E57" s="3" t="s">
        <v>4</v>
      </c>
      <c r="F57" s="4">
        <v>7.4989999999999997</v>
      </c>
      <c r="G57" s="4">
        <v>7.4989999999999997</v>
      </c>
      <c r="H57" s="5">
        <v>44861</v>
      </c>
      <c r="I57" s="3" t="s">
        <v>5</v>
      </c>
      <c r="J57" s="3" t="s">
        <v>6</v>
      </c>
      <c r="K57" s="3" t="s">
        <v>6</v>
      </c>
      <c r="L57" s="5"/>
      <c r="M57" s="5">
        <v>36514</v>
      </c>
      <c r="N57" s="3" t="s">
        <v>7</v>
      </c>
      <c r="O57" s="3" t="s">
        <v>8</v>
      </c>
      <c r="P57" s="3" t="s">
        <v>6</v>
      </c>
      <c r="Q57" s="3" t="s">
        <v>6</v>
      </c>
      <c r="R57" s="10">
        <v>0</v>
      </c>
      <c r="S57" s="10">
        <v>45.514426989999997</v>
      </c>
      <c r="T57" s="10">
        <v>0</v>
      </c>
      <c r="U57" s="10">
        <v>0</v>
      </c>
      <c r="V57" s="10">
        <v>8</v>
      </c>
      <c r="W57" s="10">
        <v>12.15135699</v>
      </c>
      <c r="X57">
        <v>0</v>
      </c>
      <c r="Y57" s="10">
        <f t="shared" si="0"/>
        <v>45.514426989999997</v>
      </c>
      <c r="Z57" s="10">
        <f t="shared" si="1"/>
        <v>12.15135699</v>
      </c>
    </row>
    <row r="58" spans="1:26" x14ac:dyDescent="0.2">
      <c r="A58" s="3" t="s">
        <v>124</v>
      </c>
      <c r="B58" s="3" t="s">
        <v>125</v>
      </c>
      <c r="C58" s="3" t="s">
        <v>2</v>
      </c>
      <c r="D58" s="3" t="s">
        <v>3</v>
      </c>
      <c r="E58" s="3" t="s">
        <v>4</v>
      </c>
      <c r="F58" s="4">
        <v>23.957000000000001</v>
      </c>
      <c r="G58" s="4">
        <v>23.957000000000001</v>
      </c>
      <c r="H58" s="5">
        <v>45349</v>
      </c>
      <c r="I58" s="3" t="s">
        <v>21</v>
      </c>
      <c r="J58" s="3" t="s">
        <v>6</v>
      </c>
      <c r="K58" s="3" t="s">
        <v>6</v>
      </c>
      <c r="L58" s="5">
        <v>39097</v>
      </c>
      <c r="M58" s="5">
        <v>36514</v>
      </c>
      <c r="N58" s="3" t="s">
        <v>7</v>
      </c>
      <c r="O58" s="3" t="s">
        <v>8</v>
      </c>
      <c r="P58" s="3" t="s">
        <v>6</v>
      </c>
      <c r="Q58" s="3" t="s">
        <v>6</v>
      </c>
      <c r="R58" s="10">
        <v>0</v>
      </c>
      <c r="S58" s="10">
        <v>45.613179690000003</v>
      </c>
      <c r="T58" s="10">
        <v>0</v>
      </c>
      <c r="U58" s="10">
        <v>0</v>
      </c>
      <c r="V58" s="10">
        <v>3.5</v>
      </c>
      <c r="W58" s="10">
        <v>12.45398569</v>
      </c>
      <c r="X58">
        <v>0</v>
      </c>
      <c r="Y58" s="10">
        <f t="shared" si="0"/>
        <v>45.613179690000003</v>
      </c>
      <c r="Z58" s="10">
        <f t="shared" si="1"/>
        <v>12.45398569</v>
      </c>
    </row>
    <row r="59" spans="1:26" x14ac:dyDescent="0.2">
      <c r="A59" s="3" t="s">
        <v>126</v>
      </c>
      <c r="B59" s="3" t="s">
        <v>127</v>
      </c>
      <c r="C59" s="3" t="s">
        <v>2</v>
      </c>
      <c r="D59" s="3" t="s">
        <v>3</v>
      </c>
      <c r="E59" s="3" t="s">
        <v>4</v>
      </c>
      <c r="F59" s="4">
        <v>219.928</v>
      </c>
      <c r="G59" s="4">
        <v>219.928</v>
      </c>
      <c r="H59" s="5">
        <v>44861</v>
      </c>
      <c r="I59" s="3" t="s">
        <v>5</v>
      </c>
      <c r="J59" s="3" t="s">
        <v>6</v>
      </c>
      <c r="K59" s="3" t="s">
        <v>6</v>
      </c>
      <c r="L59" s="5"/>
      <c r="M59" s="5">
        <v>36514</v>
      </c>
      <c r="N59" s="3" t="s">
        <v>7</v>
      </c>
      <c r="O59" s="3" t="s">
        <v>8</v>
      </c>
      <c r="P59" s="3" t="s">
        <v>6</v>
      </c>
      <c r="Q59" s="3" t="s">
        <v>6</v>
      </c>
      <c r="R59" s="10">
        <v>0</v>
      </c>
      <c r="S59" s="10">
        <v>45.45787009</v>
      </c>
      <c r="T59" s="10">
        <v>0</v>
      </c>
      <c r="U59" s="10">
        <v>0</v>
      </c>
      <c r="V59" s="10">
        <v>20.8</v>
      </c>
      <c r="W59" s="10">
        <v>11.7738631</v>
      </c>
      <c r="X59">
        <v>0</v>
      </c>
      <c r="Y59" s="10">
        <f t="shared" si="0"/>
        <v>45.45787009</v>
      </c>
      <c r="Z59" s="10">
        <f t="shared" si="1"/>
        <v>11.7738631</v>
      </c>
    </row>
    <row r="60" spans="1:26" x14ac:dyDescent="0.2">
      <c r="A60" s="3" t="s">
        <v>128</v>
      </c>
      <c r="B60" s="3" t="s">
        <v>129</v>
      </c>
      <c r="C60" s="3" t="s">
        <v>2</v>
      </c>
      <c r="D60" s="3" t="s">
        <v>3</v>
      </c>
      <c r="E60" s="3" t="s">
        <v>4</v>
      </c>
      <c r="F60" s="4">
        <v>248.726</v>
      </c>
      <c r="G60" s="4">
        <v>248.726</v>
      </c>
      <c r="H60" s="5">
        <v>44529</v>
      </c>
      <c r="I60" s="3" t="s">
        <v>5</v>
      </c>
      <c r="J60" s="3" t="s">
        <v>6</v>
      </c>
      <c r="K60" s="3" t="s">
        <v>6</v>
      </c>
      <c r="L60" s="5"/>
      <c r="M60" s="5">
        <v>36514</v>
      </c>
      <c r="N60" s="3" t="s">
        <v>7</v>
      </c>
      <c r="O60" s="3" t="s">
        <v>8</v>
      </c>
      <c r="P60" s="3" t="s">
        <v>6</v>
      </c>
      <c r="Q60" s="3" t="s">
        <v>6</v>
      </c>
      <c r="R60" s="10">
        <v>0</v>
      </c>
      <c r="S60" s="10">
        <v>45.462978290000002</v>
      </c>
      <c r="T60" s="10">
        <v>0</v>
      </c>
      <c r="U60" s="10">
        <v>0</v>
      </c>
      <c r="V60" s="10">
        <v>8</v>
      </c>
      <c r="W60" s="10">
        <v>12.118938890000001</v>
      </c>
      <c r="X60">
        <v>0</v>
      </c>
      <c r="Y60" s="10">
        <f t="shared" si="0"/>
        <v>45.462978290000002</v>
      </c>
      <c r="Z60" s="10">
        <f t="shared" si="1"/>
        <v>12.118938890000001</v>
      </c>
    </row>
    <row r="61" spans="1:26" x14ac:dyDescent="0.2">
      <c r="A61" s="3" t="s">
        <v>130</v>
      </c>
      <c r="B61" s="3" t="s">
        <v>131</v>
      </c>
      <c r="C61" s="3" t="s">
        <v>2</v>
      </c>
      <c r="D61" s="3" t="s">
        <v>3</v>
      </c>
      <c r="E61" s="3" t="s">
        <v>4</v>
      </c>
      <c r="F61" s="4">
        <v>9.2729999999999997</v>
      </c>
      <c r="G61" s="4">
        <v>9.2729999999999997</v>
      </c>
      <c r="H61" s="5">
        <v>45638</v>
      </c>
      <c r="I61" s="3" t="s">
        <v>132</v>
      </c>
      <c r="J61" s="3" t="s">
        <v>6</v>
      </c>
      <c r="K61" s="3" t="s">
        <v>6</v>
      </c>
      <c r="L61" s="5"/>
      <c r="M61" s="5">
        <v>36514</v>
      </c>
      <c r="N61" s="3" t="s">
        <v>7</v>
      </c>
      <c r="O61" s="3" t="s">
        <v>8</v>
      </c>
      <c r="P61" s="3" t="s">
        <v>6</v>
      </c>
      <c r="Q61" s="3" t="s">
        <v>6</v>
      </c>
      <c r="R61" s="10">
        <v>0</v>
      </c>
      <c r="S61" s="10">
        <v>45.561866989999999</v>
      </c>
      <c r="T61" s="10">
        <v>0</v>
      </c>
      <c r="U61" s="10">
        <v>0</v>
      </c>
      <c r="V61" s="10">
        <v>11.5</v>
      </c>
      <c r="W61" s="10">
        <v>12.232760089999999</v>
      </c>
      <c r="X61">
        <v>0</v>
      </c>
      <c r="Y61" s="10">
        <f t="shared" si="0"/>
        <v>45.561866989999999</v>
      </c>
      <c r="Z61" s="10">
        <f t="shared" si="1"/>
        <v>12.232760089999999</v>
      </c>
    </row>
    <row r="62" spans="1:26" x14ac:dyDescent="0.2">
      <c r="A62" s="3" t="s">
        <v>133</v>
      </c>
      <c r="B62" s="3" t="s">
        <v>134</v>
      </c>
      <c r="C62" s="3" t="s">
        <v>2</v>
      </c>
      <c r="D62" s="3" t="s">
        <v>3</v>
      </c>
      <c r="E62" s="3" t="s">
        <v>4</v>
      </c>
      <c r="F62" s="4">
        <v>100.119</v>
      </c>
      <c r="G62" s="4">
        <v>100.119</v>
      </c>
      <c r="H62" s="5">
        <v>44769</v>
      </c>
      <c r="I62" s="3" t="s">
        <v>5</v>
      </c>
      <c r="J62" s="3" t="s">
        <v>6</v>
      </c>
      <c r="K62" s="3" t="s">
        <v>6</v>
      </c>
      <c r="L62" s="5"/>
      <c r="M62" s="5">
        <v>36514</v>
      </c>
      <c r="N62" s="3" t="s">
        <v>7</v>
      </c>
      <c r="O62" s="3" t="s">
        <v>8</v>
      </c>
      <c r="P62" s="3" t="s">
        <v>6</v>
      </c>
      <c r="Q62" s="3" t="s">
        <v>6</v>
      </c>
      <c r="R62" s="10">
        <v>0</v>
      </c>
      <c r="S62" s="10">
        <v>45.24611419</v>
      </c>
      <c r="T62" s="10">
        <v>0</v>
      </c>
      <c r="U62" s="10">
        <v>0</v>
      </c>
      <c r="V62" s="10">
        <v>13</v>
      </c>
      <c r="W62" s="10">
        <v>11.74789979</v>
      </c>
      <c r="X62">
        <v>0</v>
      </c>
      <c r="Y62" s="10">
        <f t="shared" si="0"/>
        <v>45.24611419</v>
      </c>
      <c r="Z62" s="10">
        <f t="shared" si="1"/>
        <v>11.74789979</v>
      </c>
    </row>
    <row r="63" spans="1:26" x14ac:dyDescent="0.2">
      <c r="A63" s="3" t="s">
        <v>135</v>
      </c>
      <c r="B63" s="3" t="s">
        <v>136</v>
      </c>
      <c r="C63" s="3" t="s">
        <v>11</v>
      </c>
      <c r="D63" s="3" t="s">
        <v>3</v>
      </c>
      <c r="E63" s="3" t="s">
        <v>4</v>
      </c>
      <c r="F63" s="4">
        <v>20.064</v>
      </c>
      <c r="G63" s="4">
        <v>20.064</v>
      </c>
      <c r="H63" s="5">
        <v>44651</v>
      </c>
      <c r="I63" s="3" t="s">
        <v>5</v>
      </c>
      <c r="J63" s="3" t="s">
        <v>6</v>
      </c>
      <c r="K63" s="3" t="s">
        <v>6</v>
      </c>
      <c r="L63" s="5"/>
      <c r="M63" s="5">
        <v>36514</v>
      </c>
      <c r="N63" s="3" t="s">
        <v>7</v>
      </c>
      <c r="O63" s="3" t="s">
        <v>8</v>
      </c>
      <c r="P63" s="3" t="s">
        <v>6</v>
      </c>
      <c r="Q63" s="3" t="s">
        <v>6</v>
      </c>
      <c r="R63" s="10">
        <v>0</v>
      </c>
      <c r="S63" s="10">
        <v>45.776422089999997</v>
      </c>
      <c r="T63" s="10">
        <v>0</v>
      </c>
      <c r="U63" s="10">
        <v>0</v>
      </c>
      <c r="V63" s="10">
        <v>113.3</v>
      </c>
      <c r="W63" s="10">
        <v>12.05402129</v>
      </c>
      <c r="X63">
        <v>0</v>
      </c>
      <c r="Y63" s="10">
        <f t="shared" si="0"/>
        <v>45.776422089999997</v>
      </c>
      <c r="Z63" s="10">
        <f t="shared" si="1"/>
        <v>12.05402129</v>
      </c>
    </row>
    <row r="64" spans="1:26" x14ac:dyDescent="0.2">
      <c r="A64" s="3" t="s">
        <v>137</v>
      </c>
      <c r="B64" s="3" t="s">
        <v>138</v>
      </c>
      <c r="C64" s="3" t="s">
        <v>11</v>
      </c>
      <c r="D64" s="3" t="s">
        <v>3</v>
      </c>
      <c r="E64" s="3" t="s">
        <v>4</v>
      </c>
      <c r="F64" s="4">
        <v>14.837</v>
      </c>
      <c r="G64" s="4">
        <v>14.837</v>
      </c>
      <c r="H64" s="5">
        <v>45349</v>
      </c>
      <c r="I64" s="3" t="s">
        <v>21</v>
      </c>
      <c r="J64" s="3" t="s">
        <v>6</v>
      </c>
      <c r="K64" s="3" t="s">
        <v>6</v>
      </c>
      <c r="L64" s="5">
        <v>39223</v>
      </c>
      <c r="M64" s="5">
        <v>36514</v>
      </c>
      <c r="N64" s="3" t="s">
        <v>7</v>
      </c>
      <c r="O64" s="3" t="s">
        <v>8</v>
      </c>
      <c r="P64" s="3" t="s">
        <v>6</v>
      </c>
      <c r="Q64" s="3" t="s">
        <v>6</v>
      </c>
      <c r="R64" s="10">
        <v>0</v>
      </c>
      <c r="S64" s="10">
        <v>45.553829090000001</v>
      </c>
      <c r="T64" s="10">
        <v>0</v>
      </c>
      <c r="U64" s="10">
        <v>0</v>
      </c>
      <c r="V64" s="10">
        <v>14.9</v>
      </c>
      <c r="W64" s="10">
        <v>12.07489479</v>
      </c>
      <c r="X64">
        <v>0</v>
      </c>
      <c r="Y64" s="10">
        <f t="shared" si="0"/>
        <v>45.553829090000001</v>
      </c>
      <c r="Z64" s="10">
        <f t="shared" si="1"/>
        <v>12.07489479</v>
      </c>
    </row>
    <row r="65" spans="1:26" x14ac:dyDescent="0.2">
      <c r="A65" s="3" t="s">
        <v>139</v>
      </c>
      <c r="B65" s="3" t="s">
        <v>140</v>
      </c>
      <c r="C65" s="3" t="s">
        <v>11</v>
      </c>
      <c r="D65" s="3" t="s">
        <v>3</v>
      </c>
      <c r="E65" s="3" t="s">
        <v>4</v>
      </c>
      <c r="F65" s="4">
        <v>59.447000000000003</v>
      </c>
      <c r="G65" s="4">
        <v>59.447000000000003</v>
      </c>
      <c r="H65" s="5">
        <v>45349</v>
      </c>
      <c r="I65" s="3" t="s">
        <v>5</v>
      </c>
      <c r="J65" s="3" t="s">
        <v>6</v>
      </c>
      <c r="K65" s="3" t="s">
        <v>6</v>
      </c>
      <c r="L65" s="5"/>
      <c r="M65" s="5">
        <v>36514</v>
      </c>
      <c r="N65" s="3" t="s">
        <v>7</v>
      </c>
      <c r="O65" s="3" t="s">
        <v>8</v>
      </c>
      <c r="P65" s="3" t="s">
        <v>6</v>
      </c>
      <c r="Q65" s="3" t="s">
        <v>6</v>
      </c>
      <c r="R65" s="10">
        <v>0</v>
      </c>
      <c r="S65" s="10">
        <v>45.928054590000002</v>
      </c>
      <c r="T65" s="10">
        <v>0</v>
      </c>
      <c r="U65" s="10">
        <v>0</v>
      </c>
      <c r="V65" s="10">
        <v>40.200000000000003</v>
      </c>
      <c r="W65" s="10">
        <v>12.43427309</v>
      </c>
      <c r="X65">
        <v>0</v>
      </c>
      <c r="Y65" s="10">
        <f t="shared" si="0"/>
        <v>45.928054590000002</v>
      </c>
      <c r="Z65" s="10">
        <f t="shared" si="1"/>
        <v>12.43427309</v>
      </c>
    </row>
    <row r="66" spans="1:26" x14ac:dyDescent="0.2">
      <c r="A66" s="3" t="s">
        <v>141</v>
      </c>
      <c r="B66" s="3" t="s">
        <v>142</v>
      </c>
      <c r="C66" s="3" t="s">
        <v>11</v>
      </c>
      <c r="D66" s="3" t="s">
        <v>3</v>
      </c>
      <c r="E66" s="3" t="s">
        <v>4</v>
      </c>
      <c r="F66" s="4">
        <v>110.578</v>
      </c>
      <c r="G66" s="4">
        <v>110.578</v>
      </c>
      <c r="H66" s="5">
        <v>44467</v>
      </c>
      <c r="I66" s="3" t="s">
        <v>5</v>
      </c>
      <c r="J66" s="3" t="s">
        <v>6</v>
      </c>
      <c r="K66" s="3" t="s">
        <v>6</v>
      </c>
      <c r="L66" s="5"/>
      <c r="M66" s="5">
        <v>36514</v>
      </c>
      <c r="N66" s="3" t="s">
        <v>7</v>
      </c>
      <c r="O66" s="3" t="s">
        <v>8</v>
      </c>
      <c r="P66" s="3" t="s">
        <v>6</v>
      </c>
      <c r="Q66" s="3" t="s">
        <v>6</v>
      </c>
      <c r="R66" s="10">
        <v>0</v>
      </c>
      <c r="S66" s="10">
        <v>46.325761489999998</v>
      </c>
      <c r="T66" s="10">
        <v>0</v>
      </c>
      <c r="U66" s="10">
        <v>0</v>
      </c>
      <c r="V66" s="10">
        <v>505.1</v>
      </c>
      <c r="W66" s="10">
        <v>12.31844239</v>
      </c>
      <c r="X66">
        <v>0</v>
      </c>
      <c r="Y66" s="10">
        <f t="shared" si="0"/>
        <v>46.325761489999998</v>
      </c>
      <c r="Z66" s="10">
        <f t="shared" si="1"/>
        <v>12.31844239</v>
      </c>
    </row>
    <row r="67" spans="1:26" x14ac:dyDescent="0.2">
      <c r="A67" s="3" t="s">
        <v>143</v>
      </c>
      <c r="B67" s="3" t="s">
        <v>144</v>
      </c>
      <c r="C67" s="3" t="s">
        <v>2</v>
      </c>
      <c r="D67" s="3" t="s">
        <v>3</v>
      </c>
      <c r="E67" s="3" t="s">
        <v>4</v>
      </c>
      <c r="F67" s="4">
        <v>229.40799999999999</v>
      </c>
      <c r="G67" s="4">
        <v>229.40799999999999</v>
      </c>
      <c r="H67" s="5">
        <v>44720</v>
      </c>
      <c r="I67" s="3" t="s">
        <v>5</v>
      </c>
      <c r="J67" s="3" t="s">
        <v>6</v>
      </c>
      <c r="K67" s="3" t="s">
        <v>6</v>
      </c>
      <c r="L67" s="5"/>
      <c r="M67" s="5">
        <v>36514</v>
      </c>
      <c r="N67" s="3" t="s">
        <v>7</v>
      </c>
      <c r="O67" s="3" t="s">
        <v>8</v>
      </c>
      <c r="P67" s="3" t="s">
        <v>6</v>
      </c>
      <c r="Q67" s="3" t="s">
        <v>6</v>
      </c>
      <c r="R67" s="10">
        <v>0</v>
      </c>
      <c r="S67" s="10">
        <v>45.417843490000003</v>
      </c>
      <c r="T67" s="10">
        <v>0</v>
      </c>
      <c r="U67" s="10">
        <v>0</v>
      </c>
      <c r="V67" s="10">
        <v>10.4</v>
      </c>
      <c r="W67" s="10">
        <v>11.88079739</v>
      </c>
      <c r="X67">
        <v>0</v>
      </c>
      <c r="Y67" s="10">
        <f t="shared" ref="Y67:Y130" si="2">IF(LEFT(A67,2)="TR",(S67+R67)/2,S67)</f>
        <v>45.417843490000003</v>
      </c>
      <c r="Z67" s="10">
        <f t="shared" ref="Z67:Z130" si="3">IF(LEFT(A67,2)="TR",(W67+T67)/2,W67)</f>
        <v>11.88079739</v>
      </c>
    </row>
    <row r="68" spans="1:26" x14ac:dyDescent="0.2">
      <c r="A68" s="3" t="s">
        <v>145</v>
      </c>
      <c r="B68" s="3" t="s">
        <v>146</v>
      </c>
      <c r="C68" s="3" t="s">
        <v>2</v>
      </c>
      <c r="D68" s="3" t="s">
        <v>3</v>
      </c>
      <c r="E68" s="3" t="s">
        <v>4</v>
      </c>
      <c r="F68" s="4">
        <v>120.17</v>
      </c>
      <c r="G68" s="4">
        <v>120.17</v>
      </c>
      <c r="H68" s="5">
        <v>45084</v>
      </c>
      <c r="I68" s="3" t="s">
        <v>5</v>
      </c>
      <c r="J68" s="3" t="s">
        <v>6</v>
      </c>
      <c r="K68" s="3" t="s">
        <v>6</v>
      </c>
      <c r="L68" s="5"/>
      <c r="M68" s="5">
        <v>36514</v>
      </c>
      <c r="N68" s="3" t="s">
        <v>7</v>
      </c>
      <c r="O68" s="3" t="s">
        <v>8</v>
      </c>
      <c r="P68" s="3" t="s">
        <v>6</v>
      </c>
      <c r="Q68" s="3" t="s">
        <v>6</v>
      </c>
      <c r="R68" s="10">
        <v>0</v>
      </c>
      <c r="S68" s="10">
        <v>45.407755090000002</v>
      </c>
      <c r="T68" s="10">
        <v>0</v>
      </c>
      <c r="U68" s="10">
        <v>0</v>
      </c>
      <c r="V68" s="10">
        <v>13.8</v>
      </c>
      <c r="W68" s="10">
        <v>11.85264349</v>
      </c>
      <c r="X68">
        <v>0</v>
      </c>
      <c r="Y68" s="10">
        <f t="shared" si="2"/>
        <v>45.407755090000002</v>
      </c>
      <c r="Z68" s="10">
        <f t="shared" si="3"/>
        <v>11.85264349</v>
      </c>
    </row>
    <row r="69" spans="1:26" x14ac:dyDescent="0.2">
      <c r="A69" s="3" t="s">
        <v>147</v>
      </c>
      <c r="B69" s="3" t="s">
        <v>148</v>
      </c>
      <c r="C69" s="3" t="s">
        <v>2</v>
      </c>
      <c r="D69" s="3" t="s">
        <v>3</v>
      </c>
      <c r="E69" s="3" t="s">
        <v>4</v>
      </c>
      <c r="F69" s="4">
        <v>3.794</v>
      </c>
      <c r="G69" s="4">
        <v>3.794</v>
      </c>
      <c r="H69" s="5">
        <v>44834</v>
      </c>
      <c r="I69" s="3" t="s">
        <v>149</v>
      </c>
      <c r="J69" s="3" t="s">
        <v>6</v>
      </c>
      <c r="K69" s="3" t="s">
        <v>6</v>
      </c>
      <c r="L69" s="5"/>
      <c r="M69" s="5">
        <v>36514</v>
      </c>
      <c r="N69" s="3" t="s">
        <v>7</v>
      </c>
      <c r="O69" s="3" t="s">
        <v>8</v>
      </c>
      <c r="P69" s="3" t="s">
        <v>6</v>
      </c>
      <c r="Q69" s="3" t="s">
        <v>6</v>
      </c>
      <c r="R69" s="10">
        <v>0</v>
      </c>
      <c r="S69" s="10">
        <v>45.395652890000001</v>
      </c>
      <c r="T69" s="10">
        <v>0</v>
      </c>
      <c r="U69" s="10">
        <v>0</v>
      </c>
      <c r="V69" s="10">
        <v>11.8</v>
      </c>
      <c r="W69" s="10">
        <v>11.921623990000001</v>
      </c>
      <c r="X69">
        <v>0</v>
      </c>
      <c r="Y69" s="10">
        <f t="shared" si="2"/>
        <v>45.395652890000001</v>
      </c>
      <c r="Z69" s="10">
        <f t="shared" si="3"/>
        <v>11.921623990000001</v>
      </c>
    </row>
    <row r="70" spans="1:26" x14ac:dyDescent="0.2">
      <c r="A70" s="3" t="s">
        <v>150</v>
      </c>
      <c r="B70" s="3" t="s">
        <v>151</v>
      </c>
      <c r="C70" s="3" t="s">
        <v>2</v>
      </c>
      <c r="D70" s="3" t="s">
        <v>3</v>
      </c>
      <c r="E70" s="3" t="s">
        <v>4</v>
      </c>
      <c r="F70" s="4">
        <v>230.61799999999999</v>
      </c>
      <c r="G70" s="4">
        <v>230.61799999999999</v>
      </c>
      <c r="H70" s="5">
        <v>45349</v>
      </c>
      <c r="I70" s="3" t="s">
        <v>21</v>
      </c>
      <c r="J70" s="3" t="s">
        <v>6</v>
      </c>
      <c r="K70" s="3" t="s">
        <v>6</v>
      </c>
      <c r="L70" s="5">
        <v>39136</v>
      </c>
      <c r="M70" s="5">
        <v>37228</v>
      </c>
      <c r="N70" s="3" t="s">
        <v>7</v>
      </c>
      <c r="O70" s="3" t="s">
        <v>8</v>
      </c>
      <c r="P70" s="3" t="s">
        <v>6</v>
      </c>
      <c r="Q70" s="3" t="s">
        <v>6</v>
      </c>
      <c r="R70" s="10">
        <v>0</v>
      </c>
      <c r="S70" s="10">
        <v>45.41915899</v>
      </c>
      <c r="T70" s="10">
        <v>0</v>
      </c>
      <c r="U70" s="10">
        <v>0</v>
      </c>
      <c r="V70" s="10">
        <v>10.8</v>
      </c>
      <c r="W70" s="10">
        <v>11.895946289999999</v>
      </c>
      <c r="X70">
        <v>0</v>
      </c>
      <c r="Y70" s="10">
        <f t="shared" si="2"/>
        <v>45.41915899</v>
      </c>
      <c r="Z70" s="10">
        <f t="shared" si="3"/>
        <v>11.895946289999999</v>
      </c>
    </row>
    <row r="71" spans="1:26" x14ac:dyDescent="0.2">
      <c r="A71" s="3" t="s">
        <v>152</v>
      </c>
      <c r="B71" s="3" t="s">
        <v>153</v>
      </c>
      <c r="C71" s="3" t="s">
        <v>11</v>
      </c>
      <c r="D71" s="3" t="s">
        <v>3</v>
      </c>
      <c r="E71" s="3" t="s">
        <v>4</v>
      </c>
      <c r="F71" s="4">
        <v>53.387999999999998</v>
      </c>
      <c r="G71" s="4">
        <v>53.387999999999998</v>
      </c>
      <c r="H71" s="5">
        <v>44111</v>
      </c>
      <c r="I71" s="3" t="s">
        <v>12</v>
      </c>
      <c r="J71" s="3" t="s">
        <v>6</v>
      </c>
      <c r="K71" s="3" t="s">
        <v>6</v>
      </c>
      <c r="L71" s="5"/>
      <c r="M71" s="5">
        <v>36514</v>
      </c>
      <c r="N71" s="3" t="s">
        <v>7</v>
      </c>
      <c r="O71" s="3" t="s">
        <v>8</v>
      </c>
      <c r="P71" s="3" t="s">
        <v>6</v>
      </c>
      <c r="Q71" s="3" t="s">
        <v>6</v>
      </c>
      <c r="R71" s="10">
        <v>0</v>
      </c>
      <c r="S71" s="10">
        <v>45.669194490000002</v>
      </c>
      <c r="T71" s="10">
        <v>0</v>
      </c>
      <c r="U71" s="10">
        <v>0</v>
      </c>
      <c r="V71" s="10">
        <v>28.9</v>
      </c>
      <c r="W71" s="10">
        <v>12.161685889999999</v>
      </c>
      <c r="X71">
        <v>0</v>
      </c>
      <c r="Y71" s="10">
        <f t="shared" si="2"/>
        <v>45.669194490000002</v>
      </c>
      <c r="Z71" s="10">
        <f t="shared" si="3"/>
        <v>12.161685889999999</v>
      </c>
    </row>
    <row r="72" spans="1:26" x14ac:dyDescent="0.2">
      <c r="A72" s="3" t="s">
        <v>154</v>
      </c>
      <c r="B72" s="3" t="s">
        <v>155</v>
      </c>
      <c r="C72" s="3" t="s">
        <v>11</v>
      </c>
      <c r="D72" s="3" t="s">
        <v>3</v>
      </c>
      <c r="E72" s="3" t="s">
        <v>4</v>
      </c>
      <c r="F72" s="4">
        <v>6.2530000000000001</v>
      </c>
      <c r="G72" s="4">
        <v>6.2530000000000001</v>
      </c>
      <c r="H72" s="5">
        <v>44111</v>
      </c>
      <c r="I72" s="3" t="s">
        <v>12</v>
      </c>
      <c r="J72" s="3" t="s">
        <v>6</v>
      </c>
      <c r="K72" s="3" t="s">
        <v>6</v>
      </c>
      <c r="L72" s="5"/>
      <c r="M72" s="5">
        <v>36514</v>
      </c>
      <c r="N72" s="3" t="s">
        <v>7</v>
      </c>
      <c r="O72" s="3" t="s">
        <v>8</v>
      </c>
      <c r="P72" s="3" t="s">
        <v>6</v>
      </c>
      <c r="Q72" s="3" t="s">
        <v>6</v>
      </c>
      <c r="R72" s="10">
        <v>0</v>
      </c>
      <c r="S72" s="10">
        <v>45.690990790000001</v>
      </c>
      <c r="T72" s="10">
        <v>0</v>
      </c>
      <c r="U72" s="10">
        <v>0</v>
      </c>
      <c r="V72" s="10">
        <v>32.799999999999997</v>
      </c>
      <c r="W72" s="10">
        <v>12.18288059</v>
      </c>
      <c r="X72">
        <v>0</v>
      </c>
      <c r="Y72" s="10">
        <f t="shared" si="2"/>
        <v>45.690990790000001</v>
      </c>
      <c r="Z72" s="10">
        <f t="shared" si="3"/>
        <v>12.18288059</v>
      </c>
    </row>
    <row r="73" spans="1:26" x14ac:dyDescent="0.2">
      <c r="A73" s="3" t="s">
        <v>156</v>
      </c>
      <c r="B73" s="3" t="s">
        <v>157</v>
      </c>
      <c r="C73" s="3" t="s">
        <v>11</v>
      </c>
      <c r="D73" s="3" t="s">
        <v>3</v>
      </c>
      <c r="E73" s="3" t="s">
        <v>4</v>
      </c>
      <c r="F73" s="4">
        <v>33.914999999999999</v>
      </c>
      <c r="G73" s="4">
        <v>33.914999999999999</v>
      </c>
      <c r="H73" s="5">
        <v>45349</v>
      </c>
      <c r="I73" s="3" t="s">
        <v>21</v>
      </c>
      <c r="J73" s="3" t="s">
        <v>6</v>
      </c>
      <c r="K73" s="3" t="s">
        <v>6</v>
      </c>
      <c r="L73" s="5">
        <v>39097</v>
      </c>
      <c r="M73" s="5">
        <v>36514</v>
      </c>
      <c r="N73" s="3" t="s">
        <v>7</v>
      </c>
      <c r="O73" s="3" t="s">
        <v>8</v>
      </c>
      <c r="P73" s="3" t="s">
        <v>6</v>
      </c>
      <c r="Q73" s="3" t="s">
        <v>6</v>
      </c>
      <c r="R73" s="10">
        <v>0</v>
      </c>
      <c r="S73" s="10">
        <v>45.877286300000002</v>
      </c>
      <c r="T73" s="10">
        <v>0</v>
      </c>
      <c r="U73" s="10">
        <v>0</v>
      </c>
      <c r="V73" s="10">
        <v>168.7</v>
      </c>
      <c r="W73" s="10">
        <v>11.96524179</v>
      </c>
      <c r="X73">
        <v>0</v>
      </c>
      <c r="Y73" s="10">
        <f t="shared" si="2"/>
        <v>45.877286300000002</v>
      </c>
      <c r="Z73" s="10">
        <f t="shared" si="3"/>
        <v>11.96524179</v>
      </c>
    </row>
    <row r="74" spans="1:26" x14ac:dyDescent="0.2">
      <c r="A74" s="3" t="s">
        <v>158</v>
      </c>
      <c r="B74" s="3" t="s">
        <v>159</v>
      </c>
      <c r="C74" s="3" t="s">
        <v>2</v>
      </c>
      <c r="D74" s="3" t="s">
        <v>3</v>
      </c>
      <c r="E74" s="3" t="s">
        <v>4</v>
      </c>
      <c r="F74" s="4">
        <v>6.8090000000000002</v>
      </c>
      <c r="G74" s="4">
        <v>6.8090000000000002</v>
      </c>
      <c r="H74" s="5">
        <v>45349</v>
      </c>
      <c r="I74" s="3" t="s">
        <v>21</v>
      </c>
      <c r="J74" s="3" t="s">
        <v>6</v>
      </c>
      <c r="K74" s="3" t="s">
        <v>6</v>
      </c>
      <c r="L74" s="5">
        <v>39599</v>
      </c>
      <c r="M74" s="5">
        <v>39518</v>
      </c>
      <c r="N74" s="3" t="s">
        <v>7</v>
      </c>
      <c r="O74" s="3" t="s">
        <v>8</v>
      </c>
      <c r="P74" s="3" t="s">
        <v>6</v>
      </c>
      <c r="Q74" s="3" t="s">
        <v>6</v>
      </c>
      <c r="R74" s="10">
        <v>0</v>
      </c>
      <c r="S74" s="10">
        <v>45.489361100000004</v>
      </c>
      <c r="T74" s="10">
        <v>0</v>
      </c>
      <c r="U74" s="10">
        <v>0</v>
      </c>
      <c r="V74" s="10">
        <v>6.4</v>
      </c>
      <c r="W74" s="10">
        <v>12.17569499</v>
      </c>
      <c r="X74">
        <v>0</v>
      </c>
      <c r="Y74" s="10">
        <f t="shared" si="2"/>
        <v>45.489361100000004</v>
      </c>
      <c r="Z74" s="10">
        <f t="shared" si="3"/>
        <v>12.17569499</v>
      </c>
    </row>
    <row r="75" spans="1:26" x14ac:dyDescent="0.2">
      <c r="A75" s="3" t="s">
        <v>160</v>
      </c>
      <c r="B75" s="3" t="s">
        <v>161</v>
      </c>
      <c r="C75" s="3" t="s">
        <v>2</v>
      </c>
      <c r="D75" s="3" t="s">
        <v>3</v>
      </c>
      <c r="E75" s="3" t="s">
        <v>4</v>
      </c>
      <c r="F75" s="4">
        <v>7.016</v>
      </c>
      <c r="G75" s="4">
        <v>7.016</v>
      </c>
      <c r="H75" s="5">
        <v>45349</v>
      </c>
      <c r="I75" s="3" t="s">
        <v>21</v>
      </c>
      <c r="J75" s="3" t="s">
        <v>6</v>
      </c>
      <c r="K75" s="3" t="s">
        <v>6</v>
      </c>
      <c r="L75" s="5">
        <v>39599</v>
      </c>
      <c r="M75" s="5">
        <v>39518</v>
      </c>
      <c r="N75" s="3" t="s">
        <v>7</v>
      </c>
      <c r="O75" s="3" t="s">
        <v>8</v>
      </c>
      <c r="P75" s="3" t="s">
        <v>6</v>
      </c>
      <c r="Q75" s="3" t="s">
        <v>6</v>
      </c>
      <c r="R75" s="10">
        <v>0</v>
      </c>
      <c r="S75" s="10">
        <v>45.490245790000003</v>
      </c>
      <c r="T75" s="10">
        <v>0</v>
      </c>
      <c r="U75" s="10">
        <v>0</v>
      </c>
      <c r="V75" s="10">
        <v>8.8000000000000007</v>
      </c>
      <c r="W75" s="10">
        <v>12.176267490000001</v>
      </c>
      <c r="X75">
        <v>0</v>
      </c>
      <c r="Y75" s="10">
        <f t="shared" si="2"/>
        <v>45.490245790000003</v>
      </c>
      <c r="Z75" s="10">
        <f t="shared" si="3"/>
        <v>12.176267490000001</v>
      </c>
    </row>
    <row r="76" spans="1:26" x14ac:dyDescent="0.2">
      <c r="A76" s="3" t="s">
        <v>162</v>
      </c>
      <c r="B76" s="3" t="s">
        <v>163</v>
      </c>
      <c r="C76" s="3" t="s">
        <v>11</v>
      </c>
      <c r="D76" s="3" t="s">
        <v>3</v>
      </c>
      <c r="E76" s="3" t="s">
        <v>4</v>
      </c>
      <c r="F76" s="4">
        <v>118.492</v>
      </c>
      <c r="G76" s="4">
        <v>118.492</v>
      </c>
      <c r="H76" s="5">
        <v>44861</v>
      </c>
      <c r="I76" s="3" t="s">
        <v>5</v>
      </c>
      <c r="J76" s="3" t="s">
        <v>6</v>
      </c>
      <c r="K76" s="3" t="s">
        <v>6</v>
      </c>
      <c r="L76" s="5"/>
      <c r="M76" s="5">
        <v>36514</v>
      </c>
      <c r="N76" s="3" t="s">
        <v>7</v>
      </c>
      <c r="O76" s="3" t="s">
        <v>8</v>
      </c>
      <c r="P76" s="3" t="s">
        <v>6</v>
      </c>
      <c r="Q76" s="3" t="s">
        <v>6</v>
      </c>
      <c r="R76" s="10">
        <v>0</v>
      </c>
      <c r="S76" s="10">
        <v>46.386264599999997</v>
      </c>
      <c r="T76" s="10">
        <v>0</v>
      </c>
      <c r="U76" s="10">
        <v>0</v>
      </c>
      <c r="V76" s="10">
        <v>556.9</v>
      </c>
      <c r="W76" s="10">
        <v>12.35250299</v>
      </c>
      <c r="X76">
        <v>0</v>
      </c>
      <c r="Y76" s="10">
        <f t="shared" si="2"/>
        <v>46.386264599999997</v>
      </c>
      <c r="Z76" s="10">
        <f t="shared" si="3"/>
        <v>12.35250299</v>
      </c>
    </row>
    <row r="77" spans="1:26" x14ac:dyDescent="0.2">
      <c r="A77" s="3" t="s">
        <v>164</v>
      </c>
      <c r="B77" s="3" t="s">
        <v>165</v>
      </c>
      <c r="C77" s="3" t="s">
        <v>11</v>
      </c>
      <c r="D77" s="3" t="s">
        <v>3</v>
      </c>
      <c r="E77" s="3" t="s">
        <v>4</v>
      </c>
      <c r="F77" s="4">
        <v>55.494999999999997</v>
      </c>
      <c r="G77" s="4">
        <v>55.494999999999997</v>
      </c>
      <c r="H77" s="5">
        <v>45578</v>
      </c>
      <c r="I77" s="3" t="s">
        <v>5</v>
      </c>
      <c r="J77" s="3" t="s">
        <v>6</v>
      </c>
      <c r="K77" s="3" t="s">
        <v>6</v>
      </c>
      <c r="L77" s="5">
        <v>39097</v>
      </c>
      <c r="M77" s="5">
        <v>36514</v>
      </c>
      <c r="N77" s="3" t="s">
        <v>7</v>
      </c>
      <c r="O77" s="3" t="s">
        <v>8</v>
      </c>
      <c r="P77" s="3" t="s">
        <v>6</v>
      </c>
      <c r="Q77" s="3" t="s">
        <v>6</v>
      </c>
      <c r="R77" s="10">
        <v>0</v>
      </c>
      <c r="S77" s="10">
        <v>45.913390489999998</v>
      </c>
      <c r="T77" s="10">
        <v>0</v>
      </c>
      <c r="U77" s="10">
        <v>0</v>
      </c>
      <c r="V77" s="10">
        <v>47.5</v>
      </c>
      <c r="W77" s="10">
        <v>12.388183290000001</v>
      </c>
      <c r="X77">
        <v>0</v>
      </c>
      <c r="Y77" s="10">
        <f t="shared" si="2"/>
        <v>45.913390489999998</v>
      </c>
      <c r="Z77" s="10">
        <f t="shared" si="3"/>
        <v>12.388183290000001</v>
      </c>
    </row>
    <row r="78" spans="1:26" x14ac:dyDescent="0.2">
      <c r="A78" s="3" t="s">
        <v>166</v>
      </c>
      <c r="B78" s="3" t="s">
        <v>167</v>
      </c>
      <c r="C78" s="3" t="s">
        <v>11</v>
      </c>
      <c r="D78" s="3" t="s">
        <v>3</v>
      </c>
      <c r="E78" s="3" t="s">
        <v>4</v>
      </c>
      <c r="F78" s="4">
        <v>23.312000000000001</v>
      </c>
      <c r="G78" s="4">
        <v>23.312000000000001</v>
      </c>
      <c r="H78" s="5">
        <v>44558</v>
      </c>
      <c r="I78" s="3" t="s">
        <v>5</v>
      </c>
      <c r="J78" s="3" t="s">
        <v>6</v>
      </c>
      <c r="K78" s="3" t="s">
        <v>6</v>
      </c>
      <c r="L78" s="5"/>
      <c r="M78" s="5">
        <v>36514</v>
      </c>
      <c r="N78" s="3" t="s">
        <v>7</v>
      </c>
      <c r="O78" s="3" t="s">
        <v>8</v>
      </c>
      <c r="P78" s="3" t="s">
        <v>6</v>
      </c>
      <c r="Q78" s="3" t="s">
        <v>6</v>
      </c>
      <c r="R78" s="10">
        <v>0</v>
      </c>
      <c r="S78" s="10">
        <v>45.609430789999998</v>
      </c>
      <c r="T78" s="10">
        <v>0</v>
      </c>
      <c r="U78" s="10">
        <v>0</v>
      </c>
      <c r="V78" s="10">
        <v>27.1</v>
      </c>
      <c r="W78" s="10">
        <v>12.000592190000001</v>
      </c>
      <c r="X78">
        <v>0</v>
      </c>
      <c r="Y78" s="10">
        <f t="shared" si="2"/>
        <v>45.609430789999998</v>
      </c>
      <c r="Z78" s="10">
        <f t="shared" si="3"/>
        <v>12.000592190000001</v>
      </c>
    </row>
    <row r="79" spans="1:26" x14ac:dyDescent="0.2">
      <c r="A79" s="3" t="s">
        <v>168</v>
      </c>
      <c r="B79" s="3" t="s">
        <v>169</v>
      </c>
      <c r="C79" s="3" t="s">
        <v>2</v>
      </c>
      <c r="D79" s="3" t="s">
        <v>3</v>
      </c>
      <c r="E79" s="3" t="s">
        <v>4</v>
      </c>
      <c r="F79" s="4">
        <v>65.594999999999999</v>
      </c>
      <c r="G79" s="4">
        <v>65.594999999999999</v>
      </c>
      <c r="H79" s="5">
        <v>45634</v>
      </c>
      <c r="I79" s="3" t="s">
        <v>132</v>
      </c>
      <c r="J79" s="3" t="s">
        <v>6</v>
      </c>
      <c r="K79" s="3" t="s">
        <v>6</v>
      </c>
      <c r="L79" s="5"/>
      <c r="M79" s="5">
        <v>36514</v>
      </c>
      <c r="N79" s="3" t="s">
        <v>7</v>
      </c>
      <c r="O79" s="3" t="s">
        <v>8</v>
      </c>
      <c r="P79" s="3" t="s">
        <v>6</v>
      </c>
      <c r="Q79" s="3" t="s">
        <v>6</v>
      </c>
      <c r="R79" s="10">
        <v>0</v>
      </c>
      <c r="S79" s="10">
        <v>44.961033890000003</v>
      </c>
      <c r="T79" s="10">
        <v>0</v>
      </c>
      <c r="U79" s="10">
        <v>0</v>
      </c>
      <c r="V79" s="10">
        <v>6.2</v>
      </c>
      <c r="W79" s="10">
        <v>11.738510399999999</v>
      </c>
      <c r="X79">
        <v>0</v>
      </c>
      <c r="Y79" s="10">
        <f t="shared" si="2"/>
        <v>44.961033890000003</v>
      </c>
      <c r="Z79" s="10">
        <f t="shared" si="3"/>
        <v>11.738510399999999</v>
      </c>
    </row>
    <row r="80" spans="1:26" x14ac:dyDescent="0.2">
      <c r="A80" s="3" t="s">
        <v>170</v>
      </c>
      <c r="B80" s="3" t="s">
        <v>171</v>
      </c>
      <c r="C80" s="3" t="s">
        <v>11</v>
      </c>
      <c r="D80" s="3" t="s">
        <v>3</v>
      </c>
      <c r="E80" s="3" t="s">
        <v>4</v>
      </c>
      <c r="F80" s="4">
        <v>92.715000000000003</v>
      </c>
      <c r="G80" s="4">
        <v>92.715000000000003</v>
      </c>
      <c r="H80" s="5">
        <v>44994</v>
      </c>
      <c r="I80" s="3" t="s">
        <v>5</v>
      </c>
      <c r="J80" s="3" t="s">
        <v>6</v>
      </c>
      <c r="K80" s="3" t="s">
        <v>6</v>
      </c>
      <c r="L80" s="5"/>
      <c r="M80" s="5">
        <v>36514</v>
      </c>
      <c r="N80" s="3" t="s">
        <v>7</v>
      </c>
      <c r="O80" s="3" t="s">
        <v>8</v>
      </c>
      <c r="P80" s="3" t="s">
        <v>6</v>
      </c>
      <c r="Q80" s="3" t="s">
        <v>6</v>
      </c>
      <c r="R80" s="10">
        <v>0</v>
      </c>
      <c r="S80" s="10">
        <v>46.182316399999998</v>
      </c>
      <c r="T80" s="10">
        <v>0</v>
      </c>
      <c r="U80" s="10">
        <v>0</v>
      </c>
      <c r="V80" s="10">
        <v>398.9</v>
      </c>
      <c r="W80" s="10">
        <v>12.27762699</v>
      </c>
      <c r="X80">
        <v>0</v>
      </c>
      <c r="Y80" s="10">
        <f t="shared" si="2"/>
        <v>46.182316399999998</v>
      </c>
      <c r="Z80" s="10">
        <f t="shared" si="3"/>
        <v>12.27762699</v>
      </c>
    </row>
    <row r="81" spans="1:26" x14ac:dyDescent="0.2">
      <c r="A81" s="3" t="s">
        <v>172</v>
      </c>
      <c r="B81" s="3" t="s">
        <v>173</v>
      </c>
      <c r="C81" s="3" t="s">
        <v>2</v>
      </c>
      <c r="D81" s="3" t="s">
        <v>3</v>
      </c>
      <c r="E81" s="3" t="s">
        <v>4</v>
      </c>
      <c r="F81" s="4">
        <v>59.341999999999999</v>
      </c>
      <c r="G81" s="4">
        <v>59.341999999999999</v>
      </c>
      <c r="H81" s="5">
        <v>45583</v>
      </c>
      <c r="I81" s="3" t="s">
        <v>5</v>
      </c>
      <c r="J81" s="3" t="s">
        <v>6</v>
      </c>
      <c r="K81" s="3" t="s">
        <v>6</v>
      </c>
      <c r="L81" s="5"/>
      <c r="M81" s="5">
        <v>36514</v>
      </c>
      <c r="N81" s="3" t="s">
        <v>7</v>
      </c>
      <c r="O81" s="3" t="s">
        <v>8</v>
      </c>
      <c r="P81" s="3" t="s">
        <v>6</v>
      </c>
      <c r="Q81" s="3" t="s">
        <v>6</v>
      </c>
      <c r="R81" s="10">
        <v>0</v>
      </c>
      <c r="S81" s="10">
        <v>45.78142399</v>
      </c>
      <c r="T81" s="10">
        <v>0</v>
      </c>
      <c r="U81" s="10">
        <v>0</v>
      </c>
      <c r="V81" s="10">
        <v>4.5</v>
      </c>
      <c r="W81" s="10">
        <v>12.832383699999999</v>
      </c>
      <c r="X81">
        <v>0</v>
      </c>
      <c r="Y81" s="10">
        <f t="shared" si="2"/>
        <v>45.78142399</v>
      </c>
      <c r="Z81" s="10">
        <f t="shared" si="3"/>
        <v>12.832383699999999</v>
      </c>
    </row>
    <row r="82" spans="1:26" x14ac:dyDescent="0.2">
      <c r="A82" s="3" t="s">
        <v>174</v>
      </c>
      <c r="B82" s="3" t="s">
        <v>175</v>
      </c>
      <c r="C82" s="3" t="s">
        <v>11</v>
      </c>
      <c r="D82" s="3" t="s">
        <v>3</v>
      </c>
      <c r="E82" s="3" t="s">
        <v>4</v>
      </c>
      <c r="F82" s="4">
        <v>10.09</v>
      </c>
      <c r="G82" s="4">
        <v>10.09</v>
      </c>
      <c r="H82" s="5">
        <v>45578</v>
      </c>
      <c r="I82" s="3" t="s">
        <v>5</v>
      </c>
      <c r="J82" s="3" t="s">
        <v>6</v>
      </c>
      <c r="K82" s="3" t="s">
        <v>6</v>
      </c>
      <c r="L82" s="5"/>
      <c r="M82" s="5">
        <v>36514</v>
      </c>
      <c r="N82" s="3" t="s">
        <v>7</v>
      </c>
      <c r="O82" s="3" t="s">
        <v>8</v>
      </c>
      <c r="P82" s="3" t="s">
        <v>6</v>
      </c>
      <c r="Q82" s="3" t="s">
        <v>6</v>
      </c>
      <c r="R82" s="10">
        <v>0</v>
      </c>
      <c r="S82" s="10">
        <v>45.71584919</v>
      </c>
      <c r="T82" s="10">
        <v>0</v>
      </c>
      <c r="U82" s="10">
        <v>0</v>
      </c>
      <c r="V82" s="10">
        <v>53.2</v>
      </c>
      <c r="W82" s="10">
        <v>12.14826339</v>
      </c>
      <c r="X82">
        <v>0</v>
      </c>
      <c r="Y82" s="10">
        <f t="shared" si="2"/>
        <v>45.71584919</v>
      </c>
      <c r="Z82" s="10">
        <f t="shared" si="3"/>
        <v>12.14826339</v>
      </c>
    </row>
    <row r="83" spans="1:26" x14ac:dyDescent="0.2">
      <c r="A83" s="3" t="s">
        <v>176</v>
      </c>
      <c r="B83" s="3" t="s">
        <v>177</v>
      </c>
      <c r="C83" s="3" t="s">
        <v>11</v>
      </c>
      <c r="D83" s="3" t="s">
        <v>3</v>
      </c>
      <c r="E83" s="3" t="s">
        <v>4</v>
      </c>
      <c r="F83" s="4">
        <v>13.925000000000001</v>
      </c>
      <c r="G83" s="4">
        <v>13.925000000000001</v>
      </c>
      <c r="H83" s="5">
        <v>45558</v>
      </c>
      <c r="I83" s="3" t="s">
        <v>5</v>
      </c>
      <c r="J83" s="3" t="s">
        <v>6</v>
      </c>
      <c r="K83" s="3" t="s">
        <v>6</v>
      </c>
      <c r="L83" s="5"/>
      <c r="M83" s="5">
        <v>36514</v>
      </c>
      <c r="N83" s="3" t="s">
        <v>7</v>
      </c>
      <c r="O83" s="3" t="s">
        <v>8</v>
      </c>
      <c r="P83" s="3" t="s">
        <v>6</v>
      </c>
      <c r="Q83" s="3" t="s">
        <v>6</v>
      </c>
      <c r="R83" s="10">
        <v>0</v>
      </c>
      <c r="S83" s="10">
        <v>45.603667590000001</v>
      </c>
      <c r="T83" s="10">
        <v>0</v>
      </c>
      <c r="U83" s="10">
        <v>0</v>
      </c>
      <c r="V83" s="10">
        <v>13.2</v>
      </c>
      <c r="W83" s="10">
        <v>12.23138649</v>
      </c>
      <c r="X83">
        <v>0</v>
      </c>
      <c r="Y83" s="10">
        <f t="shared" si="2"/>
        <v>45.603667590000001</v>
      </c>
      <c r="Z83" s="10">
        <f t="shared" si="3"/>
        <v>12.23138649</v>
      </c>
    </row>
    <row r="84" spans="1:26" x14ac:dyDescent="0.2">
      <c r="A84" s="3" t="s">
        <v>178</v>
      </c>
      <c r="B84" s="3" t="s">
        <v>179</v>
      </c>
      <c r="C84" s="3" t="s">
        <v>11</v>
      </c>
      <c r="D84" s="3" t="s">
        <v>3</v>
      </c>
      <c r="E84" s="3" t="s">
        <v>4</v>
      </c>
      <c r="F84" s="4">
        <v>80.001999999999995</v>
      </c>
      <c r="G84" s="4">
        <v>80.001999999999995</v>
      </c>
      <c r="H84" s="5">
        <v>45623</v>
      </c>
      <c r="I84" s="3" t="s">
        <v>132</v>
      </c>
      <c r="J84" s="3" t="s">
        <v>6</v>
      </c>
      <c r="K84" s="3" t="s">
        <v>6</v>
      </c>
      <c r="L84" s="5"/>
      <c r="M84" s="5">
        <v>36514</v>
      </c>
      <c r="N84" s="3" t="s">
        <v>7</v>
      </c>
      <c r="O84" s="3" t="s">
        <v>8</v>
      </c>
      <c r="P84" s="3" t="s">
        <v>6</v>
      </c>
      <c r="Q84" s="3" t="s">
        <v>6</v>
      </c>
      <c r="R84" s="10">
        <v>0</v>
      </c>
      <c r="S84" s="10">
        <v>45.965308190000002</v>
      </c>
      <c r="T84" s="10">
        <v>0</v>
      </c>
      <c r="U84" s="10">
        <v>0</v>
      </c>
      <c r="V84" s="10">
        <v>218.8</v>
      </c>
      <c r="W84" s="10">
        <v>11.70091229</v>
      </c>
      <c r="X84">
        <v>0</v>
      </c>
      <c r="Y84" s="10">
        <f t="shared" si="2"/>
        <v>45.965308190000002</v>
      </c>
      <c r="Z84" s="10">
        <f t="shared" si="3"/>
        <v>11.70091229</v>
      </c>
    </row>
    <row r="85" spans="1:26" x14ac:dyDescent="0.2">
      <c r="A85" s="3" t="s">
        <v>180</v>
      </c>
      <c r="B85" s="3" t="s">
        <v>181</v>
      </c>
      <c r="C85" s="3" t="s">
        <v>2</v>
      </c>
      <c r="D85" s="3" t="s">
        <v>3</v>
      </c>
      <c r="E85" s="3" t="s">
        <v>4</v>
      </c>
      <c r="F85" s="4">
        <v>15.782</v>
      </c>
      <c r="G85" s="4">
        <v>15.782</v>
      </c>
      <c r="H85" s="5">
        <v>45349</v>
      </c>
      <c r="I85" s="3" t="s">
        <v>21</v>
      </c>
      <c r="J85" s="3" t="s">
        <v>6</v>
      </c>
      <c r="K85" s="3" t="s">
        <v>6</v>
      </c>
      <c r="L85" s="5">
        <v>39380</v>
      </c>
      <c r="M85" s="5">
        <v>36514</v>
      </c>
      <c r="N85" s="3" t="s">
        <v>7</v>
      </c>
      <c r="O85" s="3" t="s">
        <v>8</v>
      </c>
      <c r="P85" s="3" t="s">
        <v>6</v>
      </c>
      <c r="Q85" s="3" t="s">
        <v>6</v>
      </c>
      <c r="R85" s="10">
        <v>0</v>
      </c>
      <c r="S85" s="10">
        <v>45.574575590000002</v>
      </c>
      <c r="T85" s="10">
        <v>0</v>
      </c>
      <c r="U85" s="10">
        <v>0</v>
      </c>
      <c r="V85" s="10">
        <v>3.4</v>
      </c>
      <c r="W85" s="10">
        <v>12.365047690000001</v>
      </c>
      <c r="X85">
        <v>0</v>
      </c>
      <c r="Y85" s="10">
        <f t="shared" si="2"/>
        <v>45.574575590000002</v>
      </c>
      <c r="Z85" s="10">
        <f t="shared" si="3"/>
        <v>12.365047690000001</v>
      </c>
    </row>
    <row r="86" spans="1:26" x14ac:dyDescent="0.2">
      <c r="A86" s="3" t="s">
        <v>182</v>
      </c>
      <c r="B86" s="3" t="s">
        <v>183</v>
      </c>
      <c r="C86" s="3" t="s">
        <v>11</v>
      </c>
      <c r="D86" s="3" t="s">
        <v>3</v>
      </c>
      <c r="E86" s="3" t="s">
        <v>4</v>
      </c>
      <c r="F86" s="4">
        <v>42.908000000000001</v>
      </c>
      <c r="G86" s="4">
        <v>42.908000000000001</v>
      </c>
      <c r="H86" s="5">
        <v>45468</v>
      </c>
      <c r="I86" s="3" t="s">
        <v>5</v>
      </c>
      <c r="J86" s="3" t="s">
        <v>6</v>
      </c>
      <c r="K86" s="3" t="s">
        <v>6</v>
      </c>
      <c r="L86" s="5"/>
      <c r="M86" s="5">
        <v>36514</v>
      </c>
      <c r="N86" s="3" t="s">
        <v>7</v>
      </c>
      <c r="O86" s="3" t="s">
        <v>8</v>
      </c>
      <c r="P86" s="3" t="s">
        <v>6</v>
      </c>
      <c r="Q86" s="3" t="s">
        <v>6</v>
      </c>
      <c r="R86" s="10">
        <v>0</v>
      </c>
      <c r="S86" s="10">
        <v>45.939292899999998</v>
      </c>
      <c r="T86" s="10">
        <v>0</v>
      </c>
      <c r="U86" s="10">
        <v>0</v>
      </c>
      <c r="V86" s="10">
        <v>196.3</v>
      </c>
      <c r="W86" s="10">
        <v>11.92020829</v>
      </c>
      <c r="X86">
        <v>0</v>
      </c>
      <c r="Y86" s="10">
        <f t="shared" si="2"/>
        <v>45.939292899999998</v>
      </c>
      <c r="Z86" s="10">
        <f t="shared" si="3"/>
        <v>11.92020829</v>
      </c>
    </row>
    <row r="87" spans="1:26" x14ac:dyDescent="0.2">
      <c r="A87" s="3" t="s">
        <v>184</v>
      </c>
      <c r="B87" s="3" t="s">
        <v>185</v>
      </c>
      <c r="C87" s="3" t="s">
        <v>11</v>
      </c>
      <c r="D87" s="3" t="s">
        <v>3</v>
      </c>
      <c r="E87" s="3" t="s">
        <v>4</v>
      </c>
      <c r="F87" s="4">
        <v>27.286000000000001</v>
      </c>
      <c r="G87" s="4">
        <v>27.286000000000001</v>
      </c>
      <c r="H87" s="5">
        <v>44111</v>
      </c>
      <c r="I87" s="3" t="s">
        <v>12</v>
      </c>
      <c r="J87" s="3" t="s">
        <v>6</v>
      </c>
      <c r="K87" s="3" t="s">
        <v>6</v>
      </c>
      <c r="L87" s="5"/>
      <c r="M87" s="5">
        <v>36514</v>
      </c>
      <c r="N87" s="3" t="s">
        <v>7</v>
      </c>
      <c r="O87" s="3" t="s">
        <v>8</v>
      </c>
      <c r="P87" s="3" t="s">
        <v>6</v>
      </c>
      <c r="Q87" s="3" t="s">
        <v>6</v>
      </c>
      <c r="R87" s="10">
        <v>0</v>
      </c>
      <c r="S87" s="10">
        <v>45.634072289999999</v>
      </c>
      <c r="T87" s="10">
        <v>0</v>
      </c>
      <c r="U87" s="10">
        <v>0</v>
      </c>
      <c r="V87" s="10">
        <v>32.1</v>
      </c>
      <c r="W87" s="10">
        <v>11.964262189999999</v>
      </c>
      <c r="X87">
        <v>0</v>
      </c>
      <c r="Y87" s="10">
        <f t="shared" si="2"/>
        <v>45.634072289999999</v>
      </c>
      <c r="Z87" s="10">
        <f t="shared" si="3"/>
        <v>11.964262189999999</v>
      </c>
    </row>
    <row r="88" spans="1:26" x14ac:dyDescent="0.2">
      <c r="A88" s="3" t="s">
        <v>186</v>
      </c>
      <c r="B88" s="3" t="s">
        <v>187</v>
      </c>
      <c r="C88" s="3" t="s">
        <v>2</v>
      </c>
      <c r="D88" s="3" t="s">
        <v>3</v>
      </c>
      <c r="E88" s="3" t="s">
        <v>4</v>
      </c>
      <c r="F88" s="4">
        <v>0.93600000000000005</v>
      </c>
      <c r="G88" s="4">
        <v>0.93600000000000005</v>
      </c>
      <c r="H88" s="5">
        <v>45644</v>
      </c>
      <c r="I88" s="3" t="s">
        <v>12</v>
      </c>
      <c r="J88" s="3" t="s">
        <v>6</v>
      </c>
      <c r="K88" s="3" t="s">
        <v>6</v>
      </c>
      <c r="L88" s="5">
        <v>38457</v>
      </c>
      <c r="M88" s="5">
        <v>40073</v>
      </c>
      <c r="N88" s="3" t="s">
        <v>7</v>
      </c>
      <c r="O88" s="3" t="s">
        <v>8</v>
      </c>
      <c r="P88" s="3" t="s">
        <v>6</v>
      </c>
      <c r="Q88" s="3" t="s">
        <v>6</v>
      </c>
      <c r="R88" s="10">
        <v>0</v>
      </c>
      <c r="S88" s="10">
        <v>45.484320390000001</v>
      </c>
      <c r="T88" s="10">
        <v>0</v>
      </c>
      <c r="U88" s="10">
        <v>0</v>
      </c>
      <c r="V88" s="10">
        <v>3.6</v>
      </c>
      <c r="W88" s="10">
        <v>12.22103489</v>
      </c>
      <c r="X88">
        <v>0</v>
      </c>
      <c r="Y88" s="10">
        <f t="shared" si="2"/>
        <v>45.484320390000001</v>
      </c>
      <c r="Z88" s="10">
        <f t="shared" si="3"/>
        <v>12.22103489</v>
      </c>
    </row>
    <row r="89" spans="1:26" x14ac:dyDescent="0.2">
      <c r="A89" s="3" t="s">
        <v>188</v>
      </c>
      <c r="B89" s="3" t="s">
        <v>189</v>
      </c>
      <c r="C89" s="3" t="s">
        <v>11</v>
      </c>
      <c r="D89" s="3" t="s">
        <v>3</v>
      </c>
      <c r="E89" s="3" t="s">
        <v>4</v>
      </c>
      <c r="F89" s="4">
        <v>5.8109999999999999</v>
      </c>
      <c r="G89" s="4">
        <v>5.8109999999999999</v>
      </c>
      <c r="H89" s="5">
        <v>45349</v>
      </c>
      <c r="I89" s="3" t="s">
        <v>21</v>
      </c>
      <c r="J89" s="3" t="s">
        <v>6</v>
      </c>
      <c r="K89" s="3" t="s">
        <v>6</v>
      </c>
      <c r="L89" s="5">
        <v>39055</v>
      </c>
      <c r="M89" s="5">
        <v>36514</v>
      </c>
      <c r="N89" s="3" t="s">
        <v>7</v>
      </c>
      <c r="O89" s="3" t="s">
        <v>8</v>
      </c>
      <c r="P89" s="3" t="s">
        <v>6</v>
      </c>
      <c r="Q89" s="3" t="s">
        <v>6</v>
      </c>
      <c r="R89" s="10">
        <v>0</v>
      </c>
      <c r="S89" s="10">
        <v>45.72053339</v>
      </c>
      <c r="T89" s="10">
        <v>0</v>
      </c>
      <c r="U89" s="10">
        <v>0</v>
      </c>
      <c r="V89" s="10">
        <v>91.4</v>
      </c>
      <c r="W89" s="10">
        <v>11.77581619</v>
      </c>
      <c r="X89">
        <v>0</v>
      </c>
      <c r="Y89" s="10">
        <f t="shared" si="2"/>
        <v>45.72053339</v>
      </c>
      <c r="Z89" s="10">
        <f t="shared" si="3"/>
        <v>11.77581619</v>
      </c>
    </row>
    <row r="90" spans="1:26" x14ac:dyDescent="0.2">
      <c r="A90" s="3" t="s">
        <v>190</v>
      </c>
      <c r="B90" s="3" t="s">
        <v>191</v>
      </c>
      <c r="C90" s="3" t="s">
        <v>2</v>
      </c>
      <c r="D90" s="3" t="s">
        <v>3</v>
      </c>
      <c r="E90" s="3" t="s">
        <v>4</v>
      </c>
      <c r="F90" s="4">
        <v>39.875999999999998</v>
      </c>
      <c r="G90" s="4">
        <v>39.875999999999998</v>
      </c>
      <c r="H90" s="5">
        <v>44111</v>
      </c>
      <c r="I90" s="3" t="s">
        <v>12</v>
      </c>
      <c r="J90" s="3" t="s">
        <v>6</v>
      </c>
      <c r="K90" s="3" t="s">
        <v>6</v>
      </c>
      <c r="L90" s="5"/>
      <c r="M90" s="5">
        <v>36514</v>
      </c>
      <c r="N90" s="3" t="s">
        <v>7</v>
      </c>
      <c r="O90" s="3" t="s">
        <v>8</v>
      </c>
      <c r="P90" s="3" t="s">
        <v>6</v>
      </c>
      <c r="Q90" s="3" t="s">
        <v>6</v>
      </c>
      <c r="R90" s="10">
        <v>0</v>
      </c>
      <c r="S90" s="10">
        <v>45.075536190000001</v>
      </c>
      <c r="T90" s="10">
        <v>0</v>
      </c>
      <c r="U90" s="10">
        <v>0</v>
      </c>
      <c r="V90" s="10">
        <v>0.6</v>
      </c>
      <c r="W90" s="10">
        <v>12.23967319</v>
      </c>
      <c r="X90">
        <v>0</v>
      </c>
      <c r="Y90" s="10">
        <f t="shared" si="2"/>
        <v>45.075536190000001</v>
      </c>
      <c r="Z90" s="10">
        <f t="shared" si="3"/>
        <v>12.23967319</v>
      </c>
    </row>
    <row r="91" spans="1:26" x14ac:dyDescent="0.2">
      <c r="A91" s="3" t="s">
        <v>192</v>
      </c>
      <c r="B91" s="3" t="s">
        <v>193</v>
      </c>
      <c r="C91" s="3" t="s">
        <v>11</v>
      </c>
      <c r="D91" s="3" t="s">
        <v>3</v>
      </c>
      <c r="E91" s="3" t="s">
        <v>4</v>
      </c>
      <c r="F91" s="4">
        <v>7.984</v>
      </c>
      <c r="G91" s="4">
        <v>7.984</v>
      </c>
      <c r="H91" s="5">
        <v>44111</v>
      </c>
      <c r="I91" s="3" t="s">
        <v>12</v>
      </c>
      <c r="J91" s="3" t="s">
        <v>6</v>
      </c>
      <c r="K91" s="3" t="s">
        <v>6</v>
      </c>
      <c r="L91" s="5"/>
      <c r="M91" s="5">
        <v>36514</v>
      </c>
      <c r="N91" s="3" t="s">
        <v>7</v>
      </c>
      <c r="O91" s="3" t="s">
        <v>8</v>
      </c>
      <c r="P91" s="3" t="s">
        <v>6</v>
      </c>
      <c r="Q91" s="3" t="s">
        <v>6</v>
      </c>
      <c r="R91" s="10">
        <v>0</v>
      </c>
      <c r="S91" s="10">
        <v>45.702030290000003</v>
      </c>
      <c r="T91" s="10">
        <v>0</v>
      </c>
      <c r="U91" s="10">
        <v>0</v>
      </c>
      <c r="V91" s="10">
        <v>77.5</v>
      </c>
      <c r="W91" s="10">
        <v>11.784826389999999</v>
      </c>
      <c r="X91">
        <v>0</v>
      </c>
      <c r="Y91" s="10">
        <f t="shared" si="2"/>
        <v>45.702030290000003</v>
      </c>
      <c r="Z91" s="10">
        <f t="shared" si="3"/>
        <v>11.784826389999999</v>
      </c>
    </row>
    <row r="92" spans="1:26" x14ac:dyDescent="0.2">
      <c r="A92" s="3" t="s">
        <v>194</v>
      </c>
      <c r="B92" s="3" t="s">
        <v>195</v>
      </c>
      <c r="C92" s="3" t="s">
        <v>2</v>
      </c>
      <c r="D92" s="3" t="s">
        <v>3</v>
      </c>
      <c r="E92" s="3" t="s">
        <v>4</v>
      </c>
      <c r="F92" s="4">
        <v>79.171999999999997</v>
      </c>
      <c r="G92" s="4">
        <v>79.171999999999997</v>
      </c>
      <c r="H92" s="5">
        <v>45359</v>
      </c>
      <c r="I92" s="3" t="s">
        <v>5</v>
      </c>
      <c r="J92" s="3" t="s">
        <v>6</v>
      </c>
      <c r="K92" s="3" t="s">
        <v>6</v>
      </c>
      <c r="L92" s="5"/>
      <c r="M92" s="5">
        <v>36514</v>
      </c>
      <c r="N92" s="3" t="s">
        <v>7</v>
      </c>
      <c r="O92" s="3" t="s">
        <v>8</v>
      </c>
      <c r="P92" s="3" t="s">
        <v>6</v>
      </c>
      <c r="Q92" s="3" t="s">
        <v>6</v>
      </c>
      <c r="R92" s="10">
        <v>0</v>
      </c>
      <c r="S92" s="10">
        <v>45.076994190000001</v>
      </c>
      <c r="T92" s="10">
        <v>0</v>
      </c>
      <c r="U92" s="10">
        <v>0</v>
      </c>
      <c r="V92" s="10">
        <v>8.4</v>
      </c>
      <c r="W92" s="10">
        <v>11.78091259</v>
      </c>
      <c r="X92">
        <v>0</v>
      </c>
      <c r="Y92" s="10">
        <f t="shared" si="2"/>
        <v>45.076994190000001</v>
      </c>
      <c r="Z92" s="10">
        <f t="shared" si="3"/>
        <v>11.78091259</v>
      </c>
    </row>
    <row r="93" spans="1:26" x14ac:dyDescent="0.2">
      <c r="A93" s="3" t="s">
        <v>196</v>
      </c>
      <c r="B93" s="3" t="s">
        <v>197</v>
      </c>
      <c r="C93" s="3" t="s">
        <v>2</v>
      </c>
      <c r="D93" s="3" t="s">
        <v>3</v>
      </c>
      <c r="E93" s="3" t="s">
        <v>4</v>
      </c>
      <c r="F93" s="4">
        <v>48.396000000000001</v>
      </c>
      <c r="G93" s="4">
        <v>48.396000000000001</v>
      </c>
      <c r="H93" s="5">
        <v>45370</v>
      </c>
      <c r="I93" s="3" t="s">
        <v>5</v>
      </c>
      <c r="J93" s="3" t="s">
        <v>6</v>
      </c>
      <c r="K93" s="3" t="s">
        <v>6</v>
      </c>
      <c r="L93" s="5"/>
      <c r="M93" s="5">
        <v>36514</v>
      </c>
      <c r="N93" s="3" t="s">
        <v>7</v>
      </c>
      <c r="O93" s="3" t="s">
        <v>8</v>
      </c>
      <c r="P93" s="3" t="s">
        <v>6</v>
      </c>
      <c r="Q93" s="3" t="s">
        <v>6</v>
      </c>
      <c r="R93" s="10">
        <v>0</v>
      </c>
      <c r="S93" s="10">
        <v>45.145694689999999</v>
      </c>
      <c r="T93" s="10">
        <v>0</v>
      </c>
      <c r="U93" s="10">
        <v>0</v>
      </c>
      <c r="V93" s="10">
        <v>2.2999999999999998</v>
      </c>
      <c r="W93" s="10">
        <v>12.266953089999999</v>
      </c>
      <c r="X93">
        <v>0</v>
      </c>
      <c r="Y93" s="10">
        <f t="shared" si="2"/>
        <v>45.145694689999999</v>
      </c>
      <c r="Z93" s="10">
        <f t="shared" si="3"/>
        <v>12.266953089999999</v>
      </c>
    </row>
    <row r="94" spans="1:26" x14ac:dyDescent="0.2">
      <c r="A94" s="3" t="s">
        <v>198</v>
      </c>
      <c r="B94" s="3" t="s">
        <v>199</v>
      </c>
      <c r="C94" s="3" t="s">
        <v>11</v>
      </c>
      <c r="D94" s="3" t="s">
        <v>3</v>
      </c>
      <c r="E94" s="3" t="s">
        <v>4</v>
      </c>
      <c r="F94" s="4">
        <v>27.367000000000001</v>
      </c>
      <c r="G94" s="4">
        <v>27.367000000000001</v>
      </c>
      <c r="H94" s="5">
        <v>45579</v>
      </c>
      <c r="I94" s="3" t="s">
        <v>5</v>
      </c>
      <c r="J94" s="3" t="s">
        <v>6</v>
      </c>
      <c r="K94" s="3" t="s">
        <v>6</v>
      </c>
      <c r="L94" s="5"/>
      <c r="M94" s="5">
        <v>36514</v>
      </c>
      <c r="N94" s="3" t="s">
        <v>7</v>
      </c>
      <c r="O94" s="3" t="s">
        <v>8</v>
      </c>
      <c r="P94" s="3" t="s">
        <v>6</v>
      </c>
      <c r="Q94" s="3" t="s">
        <v>6</v>
      </c>
      <c r="R94" s="10">
        <v>0</v>
      </c>
      <c r="S94" s="10">
        <v>46.094893890000002</v>
      </c>
      <c r="T94" s="10">
        <v>0</v>
      </c>
      <c r="U94" s="10">
        <v>0</v>
      </c>
      <c r="V94" s="10">
        <v>466.2</v>
      </c>
      <c r="W94" s="10">
        <v>12.323902289999999</v>
      </c>
      <c r="X94">
        <v>0</v>
      </c>
      <c r="Y94" s="10">
        <f t="shared" si="2"/>
        <v>46.094893890000002</v>
      </c>
      <c r="Z94" s="10">
        <f t="shared" si="3"/>
        <v>12.323902289999999</v>
      </c>
    </row>
    <row r="95" spans="1:26" x14ac:dyDescent="0.2">
      <c r="A95" s="3" t="s">
        <v>200</v>
      </c>
      <c r="B95" s="3" t="s">
        <v>201</v>
      </c>
      <c r="C95" s="3" t="s">
        <v>2</v>
      </c>
      <c r="D95" s="3" t="s">
        <v>3</v>
      </c>
      <c r="E95" s="3" t="s">
        <v>4</v>
      </c>
      <c r="F95" s="4">
        <v>32.786000000000001</v>
      </c>
      <c r="G95" s="4">
        <v>32.786000000000001</v>
      </c>
      <c r="H95" s="5">
        <v>45642</v>
      </c>
      <c r="I95" s="3" t="s">
        <v>132</v>
      </c>
      <c r="J95" s="3" t="s">
        <v>6</v>
      </c>
      <c r="K95" s="3" t="s">
        <v>6</v>
      </c>
      <c r="L95" s="5">
        <v>39224</v>
      </c>
      <c r="M95" s="5">
        <v>36514</v>
      </c>
      <c r="N95" s="3" t="s">
        <v>7</v>
      </c>
      <c r="O95" s="3" t="s">
        <v>8</v>
      </c>
      <c r="P95" s="3" t="s">
        <v>6</v>
      </c>
      <c r="Q95" s="3" t="s">
        <v>6</v>
      </c>
      <c r="R95" s="10">
        <v>0</v>
      </c>
      <c r="S95" s="10">
        <v>45.639823589999999</v>
      </c>
      <c r="T95" s="10">
        <v>0</v>
      </c>
      <c r="U95" s="10">
        <v>0</v>
      </c>
      <c r="V95" s="10">
        <v>2.8</v>
      </c>
      <c r="W95" s="10">
        <v>12.55979889</v>
      </c>
      <c r="X95">
        <v>0</v>
      </c>
      <c r="Y95" s="10">
        <f t="shared" si="2"/>
        <v>45.639823589999999</v>
      </c>
      <c r="Z95" s="10">
        <f t="shared" si="3"/>
        <v>12.55979889</v>
      </c>
    </row>
    <row r="96" spans="1:26" x14ac:dyDescent="0.2">
      <c r="A96" s="3" t="s">
        <v>202</v>
      </c>
      <c r="B96" s="3" t="s">
        <v>203</v>
      </c>
      <c r="C96" s="3" t="s">
        <v>2</v>
      </c>
      <c r="D96" s="3" t="s">
        <v>3</v>
      </c>
      <c r="E96" s="3" t="s">
        <v>4</v>
      </c>
      <c r="F96" s="4">
        <v>94.225999999999999</v>
      </c>
      <c r="G96" s="4">
        <v>94.225999999999999</v>
      </c>
      <c r="H96" s="5">
        <v>45595</v>
      </c>
      <c r="I96" s="3" t="s">
        <v>5</v>
      </c>
      <c r="J96" s="3" t="s">
        <v>6</v>
      </c>
      <c r="K96" s="3" t="s">
        <v>6</v>
      </c>
      <c r="L96" s="5">
        <v>39055</v>
      </c>
      <c r="M96" s="5">
        <v>36514</v>
      </c>
      <c r="N96" s="3" t="s">
        <v>7</v>
      </c>
      <c r="O96" s="3" t="s">
        <v>8</v>
      </c>
      <c r="P96" s="3" t="s">
        <v>6</v>
      </c>
      <c r="Q96" s="3" t="s">
        <v>6</v>
      </c>
      <c r="R96" s="10">
        <v>0</v>
      </c>
      <c r="S96" s="10">
        <v>45.199207690000001</v>
      </c>
      <c r="T96" s="10">
        <v>0</v>
      </c>
      <c r="U96" s="10">
        <v>0</v>
      </c>
      <c r="V96" s="10">
        <v>8.9</v>
      </c>
      <c r="W96" s="10">
        <v>11.71289599</v>
      </c>
      <c r="X96">
        <v>0</v>
      </c>
      <c r="Y96" s="10">
        <f t="shared" si="2"/>
        <v>45.199207690000001</v>
      </c>
      <c r="Z96" s="10">
        <f t="shared" si="3"/>
        <v>11.71289599</v>
      </c>
    </row>
    <row r="97" spans="1:26" x14ac:dyDescent="0.2">
      <c r="A97" s="3" t="s">
        <v>204</v>
      </c>
      <c r="B97" s="3" t="s">
        <v>205</v>
      </c>
      <c r="C97" s="3" t="s">
        <v>11</v>
      </c>
      <c r="D97" s="3" t="s">
        <v>3</v>
      </c>
      <c r="E97" s="3" t="s">
        <v>4</v>
      </c>
      <c r="F97" s="4">
        <v>32.165999999999997</v>
      </c>
      <c r="G97" s="4">
        <v>32.165999999999997</v>
      </c>
      <c r="H97" s="5">
        <v>44532</v>
      </c>
      <c r="I97" s="3" t="s">
        <v>5</v>
      </c>
      <c r="J97" s="3" t="s">
        <v>6</v>
      </c>
      <c r="K97" s="3" t="s">
        <v>6</v>
      </c>
      <c r="L97" s="5"/>
      <c r="M97" s="5">
        <v>36514</v>
      </c>
      <c r="N97" s="3" t="s">
        <v>7</v>
      </c>
      <c r="O97" s="3" t="s">
        <v>8</v>
      </c>
      <c r="P97" s="3" t="s">
        <v>6</v>
      </c>
      <c r="Q97" s="3" t="s">
        <v>6</v>
      </c>
      <c r="R97" s="10">
        <v>0</v>
      </c>
      <c r="S97" s="10">
        <v>45.542527290000002</v>
      </c>
      <c r="T97" s="10">
        <v>0</v>
      </c>
      <c r="U97" s="10">
        <v>0</v>
      </c>
      <c r="V97" s="10">
        <v>23.1</v>
      </c>
      <c r="W97" s="10">
        <v>11.917470290000001</v>
      </c>
      <c r="X97">
        <v>0</v>
      </c>
      <c r="Y97" s="10">
        <f t="shared" si="2"/>
        <v>45.542527290000002</v>
      </c>
      <c r="Z97" s="10">
        <f t="shared" si="3"/>
        <v>11.917470290000001</v>
      </c>
    </row>
    <row r="98" spans="1:26" x14ac:dyDescent="0.2">
      <c r="A98" s="3" t="s">
        <v>206</v>
      </c>
      <c r="B98" s="3" t="s">
        <v>207</v>
      </c>
      <c r="C98" s="3" t="s">
        <v>11</v>
      </c>
      <c r="D98" s="3" t="s">
        <v>3</v>
      </c>
      <c r="E98" s="3" t="s">
        <v>4</v>
      </c>
      <c r="F98" s="4">
        <v>68.760000000000005</v>
      </c>
      <c r="G98" s="4">
        <v>68.760000000000005</v>
      </c>
      <c r="H98" s="5">
        <v>45349</v>
      </c>
      <c r="I98" s="3" t="s">
        <v>21</v>
      </c>
      <c r="J98" s="3" t="s">
        <v>6</v>
      </c>
      <c r="K98" s="3" t="s">
        <v>6</v>
      </c>
      <c r="L98" s="5">
        <v>39224</v>
      </c>
      <c r="M98" s="5">
        <v>36514</v>
      </c>
      <c r="N98" s="3" t="s">
        <v>7</v>
      </c>
      <c r="O98" s="3" t="s">
        <v>8</v>
      </c>
      <c r="P98" s="3" t="s">
        <v>6</v>
      </c>
      <c r="Q98" s="3" t="s">
        <v>6</v>
      </c>
      <c r="R98" s="10">
        <v>0</v>
      </c>
      <c r="S98" s="10">
        <v>46.077641589999999</v>
      </c>
      <c r="T98" s="10">
        <v>0</v>
      </c>
      <c r="U98" s="10">
        <v>0</v>
      </c>
      <c r="V98" s="10">
        <v>295.10000000000002</v>
      </c>
      <c r="W98" s="10">
        <v>12.042962190000001</v>
      </c>
      <c r="X98">
        <v>0</v>
      </c>
      <c r="Y98" s="10">
        <f t="shared" si="2"/>
        <v>46.077641589999999</v>
      </c>
      <c r="Z98" s="10">
        <f t="shared" si="3"/>
        <v>12.042962190000001</v>
      </c>
    </row>
    <row r="99" spans="1:26" x14ac:dyDescent="0.2">
      <c r="A99" s="3" t="s">
        <v>208</v>
      </c>
      <c r="B99" s="3" t="s">
        <v>209</v>
      </c>
      <c r="C99" s="3" t="s">
        <v>11</v>
      </c>
      <c r="D99" s="3" t="s">
        <v>3</v>
      </c>
      <c r="E99" s="3" t="s">
        <v>4</v>
      </c>
      <c r="F99" s="4">
        <v>69.509</v>
      </c>
      <c r="G99" s="4">
        <v>69.509</v>
      </c>
      <c r="H99" s="5">
        <v>44111</v>
      </c>
      <c r="I99" s="3" t="s">
        <v>12</v>
      </c>
      <c r="J99" s="3" t="s">
        <v>6</v>
      </c>
      <c r="K99" s="3" t="s">
        <v>6</v>
      </c>
      <c r="L99" s="5"/>
      <c r="M99" s="5">
        <v>36514</v>
      </c>
      <c r="N99" s="3" t="s">
        <v>7</v>
      </c>
      <c r="O99" s="3" t="s">
        <v>8</v>
      </c>
      <c r="P99" s="3" t="s">
        <v>6</v>
      </c>
      <c r="Q99" s="3" t="s">
        <v>6</v>
      </c>
      <c r="R99" s="10">
        <v>0</v>
      </c>
      <c r="S99" s="10">
        <v>45.897686399999998</v>
      </c>
      <c r="T99" s="10">
        <v>0</v>
      </c>
      <c r="U99" s="10">
        <v>0</v>
      </c>
      <c r="V99" s="10">
        <v>182.1</v>
      </c>
      <c r="W99" s="10">
        <v>11.69226119</v>
      </c>
      <c r="X99">
        <v>0</v>
      </c>
      <c r="Y99" s="10">
        <f t="shared" si="2"/>
        <v>45.897686399999998</v>
      </c>
      <c r="Z99" s="10">
        <f t="shared" si="3"/>
        <v>11.69226119</v>
      </c>
    </row>
    <row r="100" spans="1:26" x14ac:dyDescent="0.2">
      <c r="A100" s="3" t="s">
        <v>210</v>
      </c>
      <c r="B100" s="3" t="s">
        <v>211</v>
      </c>
      <c r="C100" s="3" t="s">
        <v>11</v>
      </c>
      <c r="D100" s="3" t="s">
        <v>3</v>
      </c>
      <c r="E100" s="3" t="s">
        <v>4</v>
      </c>
      <c r="F100" s="4">
        <v>29.433</v>
      </c>
      <c r="G100" s="4">
        <v>29.433</v>
      </c>
      <c r="H100" s="5">
        <v>44111</v>
      </c>
      <c r="I100" s="3" t="s">
        <v>12</v>
      </c>
      <c r="J100" s="3" t="s">
        <v>6</v>
      </c>
      <c r="K100" s="3" t="s">
        <v>6</v>
      </c>
      <c r="L100" s="5"/>
      <c r="M100" s="5">
        <v>36514</v>
      </c>
      <c r="N100" s="3" t="s">
        <v>7</v>
      </c>
      <c r="O100" s="3" t="s">
        <v>8</v>
      </c>
      <c r="P100" s="3" t="s">
        <v>6</v>
      </c>
      <c r="Q100" s="3" t="s">
        <v>6</v>
      </c>
      <c r="R100" s="10">
        <v>0</v>
      </c>
      <c r="S100" s="10">
        <v>45.655917389999999</v>
      </c>
      <c r="T100" s="10">
        <v>0</v>
      </c>
      <c r="U100" s="10">
        <v>0</v>
      </c>
      <c r="V100" s="10">
        <v>44</v>
      </c>
      <c r="W100" s="10">
        <v>11.85723819</v>
      </c>
      <c r="X100">
        <v>0</v>
      </c>
      <c r="Y100" s="10">
        <f t="shared" si="2"/>
        <v>45.655917389999999</v>
      </c>
      <c r="Z100" s="10">
        <f t="shared" si="3"/>
        <v>11.85723819</v>
      </c>
    </row>
    <row r="101" spans="1:26" x14ac:dyDescent="0.2">
      <c r="A101" s="3" t="s">
        <v>212</v>
      </c>
      <c r="B101" s="3" t="s">
        <v>213</v>
      </c>
      <c r="C101" s="3" t="s">
        <v>11</v>
      </c>
      <c r="D101" s="3" t="s">
        <v>3</v>
      </c>
      <c r="E101" s="3" t="s">
        <v>4</v>
      </c>
      <c r="F101" s="4">
        <v>60.991999999999997</v>
      </c>
      <c r="G101" s="4">
        <v>60.991999999999997</v>
      </c>
      <c r="H101" s="5">
        <v>44111</v>
      </c>
      <c r="I101" s="3" t="s">
        <v>12</v>
      </c>
      <c r="J101" s="3" t="s">
        <v>6</v>
      </c>
      <c r="K101" s="3" t="s">
        <v>6</v>
      </c>
      <c r="L101" s="5"/>
      <c r="M101" s="5">
        <v>36514</v>
      </c>
      <c r="N101" s="3" t="s">
        <v>7</v>
      </c>
      <c r="O101" s="3" t="s">
        <v>8</v>
      </c>
      <c r="P101" s="3" t="s">
        <v>6</v>
      </c>
      <c r="Q101" s="3" t="s">
        <v>6</v>
      </c>
      <c r="R101" s="10">
        <v>0</v>
      </c>
      <c r="S101" s="10">
        <v>45.838108689999999</v>
      </c>
      <c r="T101" s="10">
        <v>0</v>
      </c>
      <c r="U101" s="10">
        <v>0</v>
      </c>
      <c r="V101" s="10">
        <v>140.5</v>
      </c>
      <c r="W101" s="10">
        <v>11.69133779</v>
      </c>
      <c r="X101">
        <v>0</v>
      </c>
      <c r="Y101" s="10">
        <f t="shared" si="2"/>
        <v>45.838108689999999</v>
      </c>
      <c r="Z101" s="10">
        <f t="shared" si="3"/>
        <v>11.69133779</v>
      </c>
    </row>
    <row r="102" spans="1:26" x14ac:dyDescent="0.2">
      <c r="A102" s="3" t="s">
        <v>214</v>
      </c>
      <c r="B102" s="3" t="s">
        <v>215</v>
      </c>
      <c r="C102" s="3" t="s">
        <v>11</v>
      </c>
      <c r="D102" s="3" t="s">
        <v>3</v>
      </c>
      <c r="E102" s="3" t="s">
        <v>4</v>
      </c>
      <c r="F102" s="4">
        <v>13.194000000000001</v>
      </c>
      <c r="G102" s="4">
        <v>13.194000000000001</v>
      </c>
      <c r="H102" s="5">
        <v>45349</v>
      </c>
      <c r="I102" s="3" t="s">
        <v>21</v>
      </c>
      <c r="J102" s="3" t="s">
        <v>6</v>
      </c>
      <c r="K102" s="3" t="s">
        <v>6</v>
      </c>
      <c r="L102" s="5">
        <v>39057</v>
      </c>
      <c r="M102" s="5">
        <v>36514</v>
      </c>
      <c r="N102" s="3" t="s">
        <v>7</v>
      </c>
      <c r="O102" s="3" t="s">
        <v>8</v>
      </c>
      <c r="P102" s="3" t="s">
        <v>6</v>
      </c>
      <c r="Q102" s="3" t="s">
        <v>6</v>
      </c>
      <c r="R102" s="10">
        <v>0</v>
      </c>
      <c r="S102" s="10">
        <v>45.605027290000002</v>
      </c>
      <c r="T102" s="10">
        <v>0</v>
      </c>
      <c r="U102" s="10">
        <v>0</v>
      </c>
      <c r="V102" s="10">
        <v>42.7</v>
      </c>
      <c r="W102" s="10">
        <v>11.673173390000001</v>
      </c>
      <c r="X102">
        <v>0</v>
      </c>
      <c r="Y102" s="10">
        <f t="shared" si="2"/>
        <v>45.605027290000002</v>
      </c>
      <c r="Z102" s="10">
        <f t="shared" si="3"/>
        <v>11.673173390000001</v>
      </c>
    </row>
    <row r="103" spans="1:26" x14ac:dyDescent="0.2">
      <c r="A103" s="3" t="s">
        <v>216</v>
      </c>
      <c r="B103" s="3" t="s">
        <v>217</v>
      </c>
      <c r="C103" s="3" t="s">
        <v>2</v>
      </c>
      <c r="D103" s="3" t="s">
        <v>3</v>
      </c>
      <c r="E103" s="3" t="s">
        <v>4</v>
      </c>
      <c r="F103" s="4">
        <v>45.954999999999998</v>
      </c>
      <c r="G103" s="4">
        <v>45.954999999999998</v>
      </c>
      <c r="H103" s="5">
        <v>45573</v>
      </c>
      <c r="I103" s="3" t="s">
        <v>5</v>
      </c>
      <c r="J103" s="3" t="s">
        <v>6</v>
      </c>
      <c r="K103" s="3" t="s">
        <v>6</v>
      </c>
      <c r="L103" s="5">
        <v>39057</v>
      </c>
      <c r="M103" s="5">
        <v>36514</v>
      </c>
      <c r="N103" s="3" t="s">
        <v>7</v>
      </c>
      <c r="O103" s="3" t="s">
        <v>8</v>
      </c>
      <c r="P103" s="3" t="s">
        <v>6</v>
      </c>
      <c r="Q103" s="3" t="s">
        <v>6</v>
      </c>
      <c r="R103" s="10">
        <v>0</v>
      </c>
      <c r="S103" s="10">
        <v>45.72108119</v>
      </c>
      <c r="T103" s="10">
        <v>0</v>
      </c>
      <c r="U103" s="10">
        <v>0</v>
      </c>
      <c r="V103" s="10">
        <v>3.7</v>
      </c>
      <c r="W103" s="10">
        <v>12.68278499</v>
      </c>
      <c r="X103">
        <v>0</v>
      </c>
      <c r="Y103" s="10">
        <f t="shared" si="2"/>
        <v>45.72108119</v>
      </c>
      <c r="Z103" s="10">
        <f t="shared" si="3"/>
        <v>12.68278499</v>
      </c>
    </row>
    <row r="104" spans="1:26" x14ac:dyDescent="0.2">
      <c r="A104" s="3" t="s">
        <v>218</v>
      </c>
      <c r="B104" s="3" t="s">
        <v>219</v>
      </c>
      <c r="C104" s="3" t="s">
        <v>11</v>
      </c>
      <c r="D104" s="3" t="s">
        <v>3</v>
      </c>
      <c r="E104" s="3" t="s">
        <v>4</v>
      </c>
      <c r="F104" s="4">
        <v>11.316000000000001</v>
      </c>
      <c r="G104" s="4">
        <v>11.316000000000001</v>
      </c>
      <c r="H104" s="5">
        <v>44111</v>
      </c>
      <c r="I104" s="3" t="s">
        <v>12</v>
      </c>
      <c r="J104" s="3" t="s">
        <v>6</v>
      </c>
      <c r="K104" s="3" t="s">
        <v>6</v>
      </c>
      <c r="L104" s="5"/>
      <c r="M104" s="5">
        <v>36514</v>
      </c>
      <c r="N104" s="3" t="s">
        <v>7</v>
      </c>
      <c r="O104" s="3" t="s">
        <v>8</v>
      </c>
      <c r="P104" s="3" t="s">
        <v>6</v>
      </c>
      <c r="Q104" s="3" t="s">
        <v>6</v>
      </c>
      <c r="R104" s="10">
        <v>0</v>
      </c>
      <c r="S104" s="10">
        <v>45.535372289999998</v>
      </c>
      <c r="T104" s="10">
        <v>0</v>
      </c>
      <c r="U104" s="10">
        <v>0</v>
      </c>
      <c r="V104" s="10">
        <v>11.9</v>
      </c>
      <c r="W104" s="10">
        <v>12.11149039</v>
      </c>
      <c r="X104">
        <v>0</v>
      </c>
      <c r="Y104" s="10">
        <f t="shared" si="2"/>
        <v>45.535372289999998</v>
      </c>
      <c r="Z104" s="10">
        <f t="shared" si="3"/>
        <v>12.11149039</v>
      </c>
    </row>
    <row r="105" spans="1:26" x14ac:dyDescent="0.2">
      <c r="A105" s="3" t="s">
        <v>220</v>
      </c>
      <c r="B105" s="3" t="s">
        <v>221</v>
      </c>
      <c r="C105" s="3" t="s">
        <v>11</v>
      </c>
      <c r="D105" s="3" t="s">
        <v>3</v>
      </c>
      <c r="E105" s="3" t="s">
        <v>4</v>
      </c>
      <c r="F105" s="4">
        <v>73.025000000000006</v>
      </c>
      <c r="G105" s="4">
        <v>73.025000000000006</v>
      </c>
      <c r="H105" s="5">
        <v>45215</v>
      </c>
      <c r="I105" s="3" t="s">
        <v>5</v>
      </c>
      <c r="J105" s="3" t="s">
        <v>6</v>
      </c>
      <c r="K105" s="3" t="s">
        <v>6</v>
      </c>
      <c r="L105" s="5"/>
      <c r="M105" s="5">
        <v>36514</v>
      </c>
      <c r="N105" s="3" t="s">
        <v>7</v>
      </c>
      <c r="O105" s="3" t="s">
        <v>8</v>
      </c>
      <c r="P105" s="3" t="s">
        <v>6</v>
      </c>
      <c r="Q105" s="3" t="s">
        <v>6</v>
      </c>
      <c r="R105" s="10">
        <v>0</v>
      </c>
      <c r="S105" s="10">
        <v>46.09541359</v>
      </c>
      <c r="T105" s="10">
        <v>0</v>
      </c>
      <c r="U105" s="10">
        <v>0</v>
      </c>
      <c r="V105" s="10">
        <v>300.5</v>
      </c>
      <c r="W105" s="10">
        <v>12.086527589999999</v>
      </c>
      <c r="X105">
        <v>0</v>
      </c>
      <c r="Y105" s="10">
        <f t="shared" si="2"/>
        <v>46.09541359</v>
      </c>
      <c r="Z105" s="10">
        <f t="shared" si="3"/>
        <v>12.086527589999999</v>
      </c>
    </row>
    <row r="106" spans="1:26" x14ac:dyDescent="0.2">
      <c r="A106" s="3" t="s">
        <v>222</v>
      </c>
      <c r="B106" s="3" t="s">
        <v>223</v>
      </c>
      <c r="C106" s="3" t="s">
        <v>11</v>
      </c>
      <c r="D106" s="3" t="s">
        <v>3</v>
      </c>
      <c r="E106" s="3" t="s">
        <v>4</v>
      </c>
      <c r="F106" s="4">
        <v>12.071</v>
      </c>
      <c r="G106" s="4">
        <v>12.071</v>
      </c>
      <c r="H106" s="5">
        <v>45215</v>
      </c>
      <c r="I106" s="3" t="s">
        <v>5</v>
      </c>
      <c r="J106" s="3" t="s">
        <v>6</v>
      </c>
      <c r="K106" s="3" t="s">
        <v>6</v>
      </c>
      <c r="L106" s="5"/>
      <c r="M106" s="5">
        <v>36514</v>
      </c>
      <c r="N106" s="3" t="s">
        <v>7</v>
      </c>
      <c r="O106" s="3" t="s">
        <v>8</v>
      </c>
      <c r="P106" s="3" t="s">
        <v>6</v>
      </c>
      <c r="Q106" s="3" t="s">
        <v>6</v>
      </c>
      <c r="R106" s="10">
        <v>0</v>
      </c>
      <c r="S106" s="10">
        <v>45.976833390000003</v>
      </c>
      <c r="T106" s="10">
        <v>0</v>
      </c>
      <c r="U106" s="10">
        <v>0</v>
      </c>
      <c r="V106" s="10">
        <v>132.4</v>
      </c>
      <c r="W106" s="10">
        <v>12.29884959</v>
      </c>
      <c r="X106">
        <v>0</v>
      </c>
      <c r="Y106" s="10">
        <f t="shared" si="2"/>
        <v>45.976833390000003</v>
      </c>
      <c r="Z106" s="10">
        <f t="shared" si="3"/>
        <v>12.29884959</v>
      </c>
    </row>
    <row r="107" spans="1:26" x14ac:dyDescent="0.2">
      <c r="A107" s="3" t="s">
        <v>224</v>
      </c>
      <c r="B107" s="3" t="s">
        <v>225</v>
      </c>
      <c r="C107" s="3" t="s">
        <v>11</v>
      </c>
      <c r="D107" s="3" t="s">
        <v>3</v>
      </c>
      <c r="E107" s="3" t="s">
        <v>4</v>
      </c>
      <c r="F107" s="4">
        <v>57.493000000000002</v>
      </c>
      <c r="G107" s="4">
        <v>57.493000000000002</v>
      </c>
      <c r="H107" s="5">
        <v>44111</v>
      </c>
      <c r="I107" s="3" t="s">
        <v>12</v>
      </c>
      <c r="J107" s="3" t="s">
        <v>6</v>
      </c>
      <c r="K107" s="3" t="s">
        <v>6</v>
      </c>
      <c r="L107" s="5"/>
      <c r="M107" s="5">
        <v>36514</v>
      </c>
      <c r="N107" s="3" t="s">
        <v>7</v>
      </c>
      <c r="O107" s="3" t="s">
        <v>8</v>
      </c>
      <c r="P107" s="3" t="s">
        <v>6</v>
      </c>
      <c r="Q107" s="3" t="s">
        <v>6</v>
      </c>
      <c r="R107" s="10">
        <v>0</v>
      </c>
      <c r="S107" s="10">
        <v>45.815428390000001</v>
      </c>
      <c r="T107" s="10">
        <v>0</v>
      </c>
      <c r="U107" s="10">
        <v>0</v>
      </c>
      <c r="V107" s="10">
        <v>135.9</v>
      </c>
      <c r="W107" s="10">
        <v>11.72135349</v>
      </c>
      <c r="X107">
        <v>0</v>
      </c>
      <c r="Y107" s="10">
        <f t="shared" si="2"/>
        <v>45.815428390000001</v>
      </c>
      <c r="Z107" s="10">
        <f t="shared" si="3"/>
        <v>11.72135349</v>
      </c>
    </row>
    <row r="108" spans="1:26" x14ac:dyDescent="0.2">
      <c r="A108" s="3" t="s">
        <v>226</v>
      </c>
      <c r="B108" s="3" t="s">
        <v>227</v>
      </c>
      <c r="C108" s="3" t="s">
        <v>11</v>
      </c>
      <c r="D108" s="3" t="s">
        <v>3</v>
      </c>
      <c r="E108" s="3" t="s">
        <v>4</v>
      </c>
      <c r="F108" s="4">
        <v>34.734000000000002</v>
      </c>
      <c r="G108" s="4">
        <v>34.734000000000002</v>
      </c>
      <c r="H108" s="5">
        <v>45471</v>
      </c>
      <c r="I108" s="3" t="s">
        <v>5</v>
      </c>
      <c r="J108" s="3" t="s">
        <v>6</v>
      </c>
      <c r="K108" s="3" t="s">
        <v>6</v>
      </c>
      <c r="L108" s="5"/>
      <c r="M108" s="5">
        <v>36514</v>
      </c>
      <c r="N108" s="3" t="s">
        <v>7</v>
      </c>
      <c r="O108" s="3" t="s">
        <v>8</v>
      </c>
      <c r="P108" s="3" t="s">
        <v>6</v>
      </c>
      <c r="Q108" s="3" t="s">
        <v>6</v>
      </c>
      <c r="R108" s="10">
        <v>0</v>
      </c>
      <c r="S108" s="10">
        <v>45.777621289999999</v>
      </c>
      <c r="T108" s="10">
        <v>0</v>
      </c>
      <c r="U108" s="10">
        <v>0</v>
      </c>
      <c r="V108" s="10">
        <v>55.6</v>
      </c>
      <c r="W108" s="10">
        <v>12.26699449</v>
      </c>
      <c r="X108">
        <v>0</v>
      </c>
      <c r="Y108" s="10">
        <f t="shared" si="2"/>
        <v>45.777621289999999</v>
      </c>
      <c r="Z108" s="10">
        <f t="shared" si="3"/>
        <v>12.26699449</v>
      </c>
    </row>
    <row r="109" spans="1:26" x14ac:dyDescent="0.2">
      <c r="A109" s="3" t="s">
        <v>228</v>
      </c>
      <c r="B109" s="3" t="s">
        <v>229</v>
      </c>
      <c r="C109" s="3" t="s">
        <v>2</v>
      </c>
      <c r="D109" s="3" t="s">
        <v>3</v>
      </c>
      <c r="E109" s="3" t="s">
        <v>4</v>
      </c>
      <c r="F109" s="4">
        <v>85.908000000000001</v>
      </c>
      <c r="G109" s="4">
        <v>85.908000000000001</v>
      </c>
      <c r="H109" s="5">
        <v>45349</v>
      </c>
      <c r="I109" s="3" t="s">
        <v>21</v>
      </c>
      <c r="J109" s="3" t="s">
        <v>6</v>
      </c>
      <c r="K109" s="3" t="s">
        <v>6</v>
      </c>
      <c r="L109" s="5">
        <v>39097</v>
      </c>
      <c r="M109" s="5">
        <v>36514</v>
      </c>
      <c r="N109" s="3" t="s">
        <v>7</v>
      </c>
      <c r="O109" s="3" t="s">
        <v>8</v>
      </c>
      <c r="P109" s="3" t="s">
        <v>6</v>
      </c>
      <c r="Q109" s="3" t="s">
        <v>6</v>
      </c>
      <c r="R109" s="10">
        <v>0</v>
      </c>
      <c r="S109" s="10">
        <v>45.132089190000002</v>
      </c>
      <c r="T109" s="10">
        <v>0</v>
      </c>
      <c r="U109" s="10">
        <v>0</v>
      </c>
      <c r="V109" s="10">
        <v>0.9</v>
      </c>
      <c r="W109" s="10">
        <v>11.749116689999999</v>
      </c>
      <c r="X109">
        <v>0</v>
      </c>
      <c r="Y109" s="10">
        <f t="shared" si="2"/>
        <v>45.132089190000002</v>
      </c>
      <c r="Z109" s="10">
        <f t="shared" si="3"/>
        <v>11.749116689999999</v>
      </c>
    </row>
    <row r="110" spans="1:26" x14ac:dyDescent="0.2">
      <c r="A110" s="3" t="s">
        <v>230</v>
      </c>
      <c r="B110" s="3" t="s">
        <v>231</v>
      </c>
      <c r="C110" s="3" t="s">
        <v>11</v>
      </c>
      <c r="D110" s="3" t="s">
        <v>3</v>
      </c>
      <c r="E110" s="3" t="s">
        <v>4</v>
      </c>
      <c r="F110" s="4">
        <v>32.628999999999998</v>
      </c>
      <c r="G110" s="4">
        <v>32.628999999999998</v>
      </c>
      <c r="H110" s="5">
        <v>45349</v>
      </c>
      <c r="I110" s="3" t="s">
        <v>21</v>
      </c>
      <c r="J110" s="3" t="s">
        <v>6</v>
      </c>
      <c r="K110" s="3" t="s">
        <v>6</v>
      </c>
      <c r="L110" s="5">
        <v>39057</v>
      </c>
      <c r="M110" s="5">
        <v>36514</v>
      </c>
      <c r="N110" s="3" t="s">
        <v>7</v>
      </c>
      <c r="O110" s="3" t="s">
        <v>8</v>
      </c>
      <c r="P110" s="3" t="s">
        <v>6</v>
      </c>
      <c r="Q110" s="3" t="s">
        <v>6</v>
      </c>
      <c r="R110" s="10">
        <v>0</v>
      </c>
      <c r="S110" s="10">
        <v>46.138038790000003</v>
      </c>
      <c r="T110" s="10">
        <v>0</v>
      </c>
      <c r="U110" s="10">
        <v>0</v>
      </c>
      <c r="V110" s="10">
        <v>394.2</v>
      </c>
      <c r="W110" s="10">
        <v>12.316067800000001</v>
      </c>
      <c r="X110">
        <v>0</v>
      </c>
      <c r="Y110" s="10">
        <f t="shared" si="2"/>
        <v>46.138038790000003</v>
      </c>
      <c r="Z110" s="10">
        <f t="shared" si="3"/>
        <v>12.316067800000001</v>
      </c>
    </row>
    <row r="111" spans="1:26" x14ac:dyDescent="0.2">
      <c r="A111" s="3" t="s">
        <v>232</v>
      </c>
      <c r="B111" s="3" t="s">
        <v>233</v>
      </c>
      <c r="C111" s="3" t="s">
        <v>11</v>
      </c>
      <c r="D111" s="3" t="s">
        <v>3</v>
      </c>
      <c r="E111" s="3" t="s">
        <v>4</v>
      </c>
      <c r="F111" s="4">
        <v>40.039000000000001</v>
      </c>
      <c r="G111" s="4">
        <v>40.039000000000001</v>
      </c>
      <c r="H111" s="5">
        <v>44111</v>
      </c>
      <c r="I111" s="3" t="s">
        <v>12</v>
      </c>
      <c r="J111" s="3" t="s">
        <v>6</v>
      </c>
      <c r="K111" s="3" t="s">
        <v>6</v>
      </c>
      <c r="L111" s="5"/>
      <c r="M111" s="5">
        <v>36514</v>
      </c>
      <c r="N111" s="3" t="s">
        <v>7</v>
      </c>
      <c r="O111" s="3" t="s">
        <v>8</v>
      </c>
      <c r="P111" s="3" t="s">
        <v>6</v>
      </c>
      <c r="Q111" s="3" t="s">
        <v>6</v>
      </c>
      <c r="R111" s="10">
        <v>0</v>
      </c>
      <c r="S111" s="10">
        <v>45.821044190000002</v>
      </c>
      <c r="T111" s="10">
        <v>0</v>
      </c>
      <c r="U111" s="10">
        <v>0</v>
      </c>
      <c r="V111" s="10">
        <v>70.2</v>
      </c>
      <c r="W111" s="10">
        <v>12.25837329</v>
      </c>
      <c r="X111">
        <v>0</v>
      </c>
      <c r="Y111" s="10">
        <f t="shared" si="2"/>
        <v>45.821044190000002</v>
      </c>
      <c r="Z111" s="10">
        <f t="shared" si="3"/>
        <v>12.25837329</v>
      </c>
    </row>
    <row r="112" spans="1:26" x14ac:dyDescent="0.2">
      <c r="A112" s="3" t="s">
        <v>234</v>
      </c>
      <c r="B112" s="3" t="s">
        <v>235</v>
      </c>
      <c r="C112" s="3" t="s">
        <v>11</v>
      </c>
      <c r="D112" s="3" t="s">
        <v>3</v>
      </c>
      <c r="E112" s="3" t="s">
        <v>4</v>
      </c>
      <c r="F112" s="4">
        <v>16.396000000000001</v>
      </c>
      <c r="G112" s="4">
        <v>16.396000000000001</v>
      </c>
      <c r="H112" s="5">
        <v>45349</v>
      </c>
      <c r="I112" s="3" t="s">
        <v>21</v>
      </c>
      <c r="J112" s="3" t="s">
        <v>6</v>
      </c>
      <c r="K112" s="3" t="s">
        <v>6</v>
      </c>
      <c r="L112" s="5">
        <v>39425</v>
      </c>
      <c r="M112" s="5">
        <v>39575</v>
      </c>
      <c r="N112" s="3" t="s">
        <v>7</v>
      </c>
      <c r="O112" s="3" t="s">
        <v>8</v>
      </c>
      <c r="P112" s="3" t="s">
        <v>6</v>
      </c>
      <c r="Q112" s="3" t="s">
        <v>6</v>
      </c>
      <c r="R112" s="10">
        <v>0</v>
      </c>
      <c r="S112" s="10">
        <v>45.625871189999998</v>
      </c>
      <c r="T112" s="10">
        <v>0</v>
      </c>
      <c r="U112" s="10">
        <v>0</v>
      </c>
      <c r="V112" s="10">
        <v>14.7</v>
      </c>
      <c r="W112" s="10">
        <v>12.23269649</v>
      </c>
      <c r="X112">
        <v>0</v>
      </c>
      <c r="Y112" s="10">
        <f t="shared" si="2"/>
        <v>45.625871189999998</v>
      </c>
      <c r="Z112" s="10">
        <f t="shared" si="3"/>
        <v>12.23269649</v>
      </c>
    </row>
    <row r="113" spans="1:26" x14ac:dyDescent="0.2">
      <c r="A113" s="3" t="s">
        <v>236</v>
      </c>
      <c r="B113" s="3" t="s">
        <v>237</v>
      </c>
      <c r="C113" s="3" t="s">
        <v>2</v>
      </c>
      <c r="D113" s="3" t="s">
        <v>3</v>
      </c>
      <c r="E113" s="3" t="s">
        <v>4</v>
      </c>
      <c r="F113" s="4">
        <v>109.92700000000001</v>
      </c>
      <c r="G113" s="4">
        <v>109.92700000000001</v>
      </c>
      <c r="H113" s="5">
        <v>45461</v>
      </c>
      <c r="I113" s="3" t="s">
        <v>5</v>
      </c>
      <c r="J113" s="3" t="s">
        <v>6</v>
      </c>
      <c r="K113" s="3" t="s">
        <v>6</v>
      </c>
      <c r="L113" s="5">
        <v>39057</v>
      </c>
      <c r="M113" s="5">
        <v>36514</v>
      </c>
      <c r="N113" s="3" t="s">
        <v>7</v>
      </c>
      <c r="O113" s="3" t="s">
        <v>8</v>
      </c>
      <c r="P113" s="3" t="s">
        <v>6</v>
      </c>
      <c r="Q113" s="3" t="s">
        <v>6</v>
      </c>
      <c r="R113" s="10">
        <v>0</v>
      </c>
      <c r="S113" s="10">
        <v>45.327317989999997</v>
      </c>
      <c r="T113" s="10">
        <v>0</v>
      </c>
      <c r="U113" s="10">
        <v>0</v>
      </c>
      <c r="V113" s="10">
        <v>10.5</v>
      </c>
      <c r="W113" s="10">
        <v>11.796479789999999</v>
      </c>
      <c r="X113">
        <v>0</v>
      </c>
      <c r="Y113" s="10">
        <f t="shared" si="2"/>
        <v>45.327317989999997</v>
      </c>
      <c r="Z113" s="10">
        <f t="shared" si="3"/>
        <v>11.796479789999999</v>
      </c>
    </row>
    <row r="114" spans="1:26" x14ac:dyDescent="0.2">
      <c r="A114" s="3" t="s">
        <v>238</v>
      </c>
      <c r="B114" s="3" t="s">
        <v>239</v>
      </c>
      <c r="C114" s="3" t="s">
        <v>11</v>
      </c>
      <c r="D114" s="3" t="s">
        <v>3</v>
      </c>
      <c r="E114" s="3" t="s">
        <v>4</v>
      </c>
      <c r="F114" s="4">
        <v>15.092000000000001</v>
      </c>
      <c r="G114" s="4">
        <v>15.092000000000001</v>
      </c>
      <c r="H114" s="5">
        <v>44111</v>
      </c>
      <c r="I114" s="3" t="s">
        <v>12</v>
      </c>
      <c r="J114" s="3" t="s">
        <v>6</v>
      </c>
      <c r="K114" s="3" t="s">
        <v>6</v>
      </c>
      <c r="L114" s="5"/>
      <c r="M114" s="5">
        <v>36514</v>
      </c>
      <c r="N114" s="3" t="s">
        <v>7</v>
      </c>
      <c r="O114" s="3" t="s">
        <v>8</v>
      </c>
      <c r="P114" s="3" t="s">
        <v>6</v>
      </c>
      <c r="Q114" s="3" t="s">
        <v>6</v>
      </c>
      <c r="R114" s="10">
        <v>0</v>
      </c>
      <c r="S114" s="10">
        <v>45.747876589999997</v>
      </c>
      <c r="T114" s="10">
        <v>0</v>
      </c>
      <c r="U114" s="10">
        <v>0</v>
      </c>
      <c r="V114" s="10">
        <v>80.8</v>
      </c>
      <c r="W114" s="10">
        <v>12.10314039</v>
      </c>
      <c r="X114">
        <v>0</v>
      </c>
      <c r="Y114" s="10">
        <f t="shared" si="2"/>
        <v>45.747876589999997</v>
      </c>
      <c r="Z114" s="10">
        <f t="shared" si="3"/>
        <v>12.10314039</v>
      </c>
    </row>
    <row r="115" spans="1:26" x14ac:dyDescent="0.2">
      <c r="A115" s="3" t="s">
        <v>240</v>
      </c>
      <c r="B115" s="3" t="s">
        <v>241</v>
      </c>
      <c r="C115" s="3" t="s">
        <v>11</v>
      </c>
      <c r="D115" s="3" t="s">
        <v>3</v>
      </c>
      <c r="E115" s="3" t="s">
        <v>4</v>
      </c>
      <c r="F115" s="4">
        <v>20.908000000000001</v>
      </c>
      <c r="G115" s="4">
        <v>20.908000000000001</v>
      </c>
      <c r="H115" s="5">
        <v>45538</v>
      </c>
      <c r="I115" s="3" t="s">
        <v>5</v>
      </c>
      <c r="J115" s="3" t="s">
        <v>6</v>
      </c>
      <c r="K115" s="3" t="s">
        <v>6</v>
      </c>
      <c r="L115" s="5">
        <v>39057</v>
      </c>
      <c r="M115" s="5">
        <v>36514</v>
      </c>
      <c r="N115" s="3" t="s">
        <v>7</v>
      </c>
      <c r="O115" s="3" t="s">
        <v>8</v>
      </c>
      <c r="P115" s="3" t="s">
        <v>6</v>
      </c>
      <c r="Q115" s="3" t="s">
        <v>6</v>
      </c>
      <c r="R115" s="10">
        <v>0</v>
      </c>
      <c r="S115" s="10">
        <v>45.659600990000001</v>
      </c>
      <c r="T115" s="10">
        <v>0</v>
      </c>
      <c r="U115" s="10">
        <v>0</v>
      </c>
      <c r="V115" s="10">
        <v>18.600000000000001</v>
      </c>
      <c r="W115" s="10">
        <v>12.24615039</v>
      </c>
      <c r="X115">
        <v>0</v>
      </c>
      <c r="Y115" s="10">
        <f t="shared" si="2"/>
        <v>45.659600990000001</v>
      </c>
      <c r="Z115" s="10">
        <f t="shared" si="3"/>
        <v>12.24615039</v>
      </c>
    </row>
    <row r="116" spans="1:26" x14ac:dyDescent="0.2">
      <c r="A116" s="3" t="s">
        <v>242</v>
      </c>
      <c r="B116" s="3" t="s">
        <v>243</v>
      </c>
      <c r="C116" s="3" t="s">
        <v>2</v>
      </c>
      <c r="D116" s="3" t="s">
        <v>3</v>
      </c>
      <c r="E116" s="3" t="s">
        <v>4</v>
      </c>
      <c r="F116" s="4">
        <v>3.903</v>
      </c>
      <c r="G116" s="4">
        <v>3.903</v>
      </c>
      <c r="H116" s="5">
        <v>44111</v>
      </c>
      <c r="I116" s="3" t="s">
        <v>12</v>
      </c>
      <c r="J116" s="3" t="s">
        <v>6</v>
      </c>
      <c r="K116" s="3" t="s">
        <v>6</v>
      </c>
      <c r="L116" s="5"/>
      <c r="M116" s="5">
        <v>36514</v>
      </c>
      <c r="N116" s="3" t="s">
        <v>7</v>
      </c>
      <c r="O116" s="3" t="s">
        <v>8</v>
      </c>
      <c r="P116" s="3" t="s">
        <v>6</v>
      </c>
      <c r="Q116" s="3" t="s">
        <v>6</v>
      </c>
      <c r="R116" s="10">
        <v>0</v>
      </c>
      <c r="S116" s="10">
        <v>45.506697090000003</v>
      </c>
      <c r="T116" s="10">
        <v>0</v>
      </c>
      <c r="U116" s="10">
        <v>0</v>
      </c>
      <c r="V116" s="10">
        <v>3.8</v>
      </c>
      <c r="W116" s="10">
        <v>12.24760689</v>
      </c>
      <c r="X116">
        <v>0</v>
      </c>
      <c r="Y116" s="10">
        <f t="shared" si="2"/>
        <v>45.506697090000003</v>
      </c>
      <c r="Z116" s="10">
        <f t="shared" si="3"/>
        <v>12.24760689</v>
      </c>
    </row>
    <row r="117" spans="1:26" x14ac:dyDescent="0.2">
      <c r="A117" s="3" t="s">
        <v>244</v>
      </c>
      <c r="B117" s="3" t="s">
        <v>245</v>
      </c>
      <c r="C117" s="3" t="s">
        <v>2</v>
      </c>
      <c r="D117" s="3" t="s">
        <v>3</v>
      </c>
      <c r="E117" s="3" t="s">
        <v>4</v>
      </c>
      <c r="F117" s="4">
        <v>1.3280000000000001</v>
      </c>
      <c r="G117" s="4">
        <v>1.3280000000000001</v>
      </c>
      <c r="H117" s="5">
        <v>45433</v>
      </c>
      <c r="I117" s="3" t="s">
        <v>5</v>
      </c>
      <c r="J117" s="3" t="s">
        <v>6</v>
      </c>
      <c r="K117" s="3" t="s">
        <v>6</v>
      </c>
      <c r="L117" s="5"/>
      <c r="M117" s="5">
        <v>36514</v>
      </c>
      <c r="N117" s="3" t="s">
        <v>7</v>
      </c>
      <c r="O117" s="3" t="s">
        <v>8</v>
      </c>
      <c r="P117" s="3" t="s">
        <v>6</v>
      </c>
      <c r="Q117" s="3" t="s">
        <v>6</v>
      </c>
      <c r="R117" s="10">
        <v>0</v>
      </c>
      <c r="S117" s="10">
        <v>45.441705489999997</v>
      </c>
      <c r="T117" s="10">
        <v>0</v>
      </c>
      <c r="U117" s="10">
        <v>0</v>
      </c>
      <c r="V117" s="10">
        <v>2</v>
      </c>
      <c r="W117" s="10">
        <v>12.31778059</v>
      </c>
      <c r="X117">
        <v>0</v>
      </c>
      <c r="Y117" s="10">
        <f t="shared" si="2"/>
        <v>45.441705489999997</v>
      </c>
      <c r="Z117" s="10">
        <f t="shared" si="3"/>
        <v>12.31778059</v>
      </c>
    </row>
    <row r="118" spans="1:26" x14ac:dyDescent="0.2">
      <c r="A118" s="3" t="s">
        <v>246</v>
      </c>
      <c r="B118" s="3" t="s">
        <v>247</v>
      </c>
      <c r="C118" s="3" t="s">
        <v>2</v>
      </c>
      <c r="D118" s="3" t="s">
        <v>3</v>
      </c>
      <c r="E118" s="3" t="s">
        <v>4</v>
      </c>
      <c r="F118" s="4">
        <v>257.90699999999998</v>
      </c>
      <c r="G118" s="4">
        <v>257.90699999999998</v>
      </c>
      <c r="H118" s="5">
        <v>45496</v>
      </c>
      <c r="I118" s="3" t="s">
        <v>5</v>
      </c>
      <c r="J118" s="3" t="s">
        <v>6</v>
      </c>
      <c r="K118" s="3" t="s">
        <v>6</v>
      </c>
      <c r="L118" s="5"/>
      <c r="M118" s="5">
        <v>36514</v>
      </c>
      <c r="N118" s="3" t="s">
        <v>7</v>
      </c>
      <c r="O118" s="3" t="s">
        <v>8</v>
      </c>
      <c r="P118" s="3" t="s">
        <v>6</v>
      </c>
      <c r="Q118" s="3" t="s">
        <v>6</v>
      </c>
      <c r="R118" s="10">
        <v>0</v>
      </c>
      <c r="S118" s="10">
        <v>45.482123889999997</v>
      </c>
      <c r="T118" s="10">
        <v>0</v>
      </c>
      <c r="U118" s="10">
        <v>0</v>
      </c>
      <c r="V118" s="10">
        <v>3.4</v>
      </c>
      <c r="W118" s="10">
        <v>12.23207539</v>
      </c>
      <c r="X118">
        <v>0</v>
      </c>
      <c r="Y118" s="10">
        <f t="shared" si="2"/>
        <v>45.482123889999997</v>
      </c>
      <c r="Z118" s="10">
        <f t="shared" si="3"/>
        <v>12.23207539</v>
      </c>
    </row>
    <row r="119" spans="1:26" x14ac:dyDescent="0.2">
      <c r="A119" s="3" t="s">
        <v>248</v>
      </c>
      <c r="B119" s="3" t="s">
        <v>249</v>
      </c>
      <c r="C119" s="3" t="s">
        <v>2</v>
      </c>
      <c r="D119" s="3" t="s">
        <v>3</v>
      </c>
      <c r="E119" s="3" t="s">
        <v>4</v>
      </c>
      <c r="F119" s="4">
        <v>260.19099999999997</v>
      </c>
      <c r="G119" s="4">
        <v>260.19099999999997</v>
      </c>
      <c r="H119" s="5">
        <v>45540</v>
      </c>
      <c r="I119" s="3" t="s">
        <v>5</v>
      </c>
      <c r="J119" s="3" t="s">
        <v>6</v>
      </c>
      <c r="K119" s="3" t="s">
        <v>6</v>
      </c>
      <c r="L119" s="5"/>
      <c r="M119" s="5">
        <v>36514</v>
      </c>
      <c r="N119" s="3" t="s">
        <v>7</v>
      </c>
      <c r="O119" s="3" t="s">
        <v>8</v>
      </c>
      <c r="P119" s="3" t="s">
        <v>6</v>
      </c>
      <c r="Q119" s="3" t="s">
        <v>6</v>
      </c>
      <c r="R119" s="10">
        <v>0</v>
      </c>
      <c r="S119" s="10">
        <v>45.472380790000003</v>
      </c>
      <c r="T119" s="10">
        <v>0</v>
      </c>
      <c r="U119" s="10">
        <v>0</v>
      </c>
      <c r="V119" s="10">
        <v>3.7</v>
      </c>
      <c r="W119" s="10">
        <v>12.256530789999999</v>
      </c>
      <c r="X119">
        <v>0</v>
      </c>
      <c r="Y119" s="10">
        <f t="shared" si="2"/>
        <v>45.472380790000003</v>
      </c>
      <c r="Z119" s="10">
        <f t="shared" si="3"/>
        <v>12.256530789999999</v>
      </c>
    </row>
    <row r="120" spans="1:26" x14ac:dyDescent="0.2">
      <c r="A120" s="3" t="s">
        <v>250</v>
      </c>
      <c r="B120" s="3" t="s">
        <v>251</v>
      </c>
      <c r="C120" s="3" t="s">
        <v>2</v>
      </c>
      <c r="D120" s="3" t="s">
        <v>3</v>
      </c>
      <c r="E120" s="3" t="s">
        <v>4</v>
      </c>
      <c r="F120" s="4">
        <v>2.2320000000000002</v>
      </c>
      <c r="G120" s="4">
        <v>2.2320000000000002</v>
      </c>
      <c r="H120" s="5">
        <v>45349</v>
      </c>
      <c r="I120" s="3" t="s">
        <v>21</v>
      </c>
      <c r="J120" s="3" t="s">
        <v>6</v>
      </c>
      <c r="K120" s="3" t="s">
        <v>6</v>
      </c>
      <c r="L120" s="5">
        <v>38848</v>
      </c>
      <c r="M120" s="5">
        <v>38867</v>
      </c>
      <c r="N120" s="3" t="s">
        <v>7</v>
      </c>
      <c r="O120" s="3" t="s">
        <v>8</v>
      </c>
      <c r="P120" s="3" t="s">
        <v>6</v>
      </c>
      <c r="Q120" s="3" t="s">
        <v>6</v>
      </c>
      <c r="R120" s="10">
        <v>0</v>
      </c>
      <c r="S120" s="10">
        <v>45.46690649</v>
      </c>
      <c r="T120" s="10">
        <v>0</v>
      </c>
      <c r="U120" s="10">
        <v>0</v>
      </c>
      <c r="V120" s="10">
        <v>2.8</v>
      </c>
      <c r="W120" s="10">
        <v>12.242832290000001</v>
      </c>
      <c r="X120">
        <v>0</v>
      </c>
      <c r="Y120" s="11">
        <v>45.466579000000003</v>
      </c>
      <c r="Z120" s="11">
        <v>12.240562000000001</v>
      </c>
    </row>
    <row r="121" spans="1:26" x14ac:dyDescent="0.2">
      <c r="A121" s="3" t="s">
        <v>252</v>
      </c>
      <c r="B121" s="3" t="s">
        <v>253</v>
      </c>
      <c r="C121" s="3" t="s">
        <v>2</v>
      </c>
      <c r="D121" s="3" t="s">
        <v>3</v>
      </c>
      <c r="E121" s="3" t="s">
        <v>4</v>
      </c>
      <c r="F121" s="4">
        <v>266.34100000000001</v>
      </c>
      <c r="G121" s="4">
        <v>266.34100000000001</v>
      </c>
      <c r="H121" s="5">
        <v>45349</v>
      </c>
      <c r="I121" s="3" t="s">
        <v>21</v>
      </c>
      <c r="J121" s="3" t="s">
        <v>6</v>
      </c>
      <c r="K121" s="3" t="s">
        <v>6</v>
      </c>
      <c r="L121" s="5">
        <v>39058</v>
      </c>
      <c r="M121" s="5">
        <v>36514</v>
      </c>
      <c r="N121" s="3" t="s">
        <v>7</v>
      </c>
      <c r="O121" s="3" t="s">
        <v>8</v>
      </c>
      <c r="P121" s="3" t="s">
        <v>6</v>
      </c>
      <c r="Q121" s="3" t="s">
        <v>6</v>
      </c>
      <c r="R121" s="10">
        <v>0</v>
      </c>
      <c r="S121" s="10">
        <v>45.441329799999998</v>
      </c>
      <c r="T121" s="10">
        <v>0</v>
      </c>
      <c r="U121" s="10">
        <v>0</v>
      </c>
      <c r="V121" s="10">
        <v>2</v>
      </c>
      <c r="W121" s="10">
        <v>12.32068759</v>
      </c>
      <c r="X121">
        <v>0</v>
      </c>
      <c r="Y121" s="10">
        <f t="shared" si="2"/>
        <v>45.441329799999998</v>
      </c>
      <c r="Z121" s="10">
        <f t="shared" si="3"/>
        <v>12.32068759</v>
      </c>
    </row>
    <row r="122" spans="1:26" x14ac:dyDescent="0.2">
      <c r="A122" s="3" t="s">
        <v>254</v>
      </c>
      <c r="B122" s="3" t="s">
        <v>255</v>
      </c>
      <c r="C122" s="3" t="s">
        <v>2</v>
      </c>
      <c r="D122" s="3" t="s">
        <v>3</v>
      </c>
      <c r="E122" s="3" t="s">
        <v>4</v>
      </c>
      <c r="F122" s="4">
        <v>42.341999999999999</v>
      </c>
      <c r="G122" s="4">
        <v>42.341999999999999</v>
      </c>
      <c r="H122" s="5">
        <v>45303</v>
      </c>
      <c r="I122" s="3" t="s">
        <v>5</v>
      </c>
      <c r="J122" s="3" t="s">
        <v>6</v>
      </c>
      <c r="K122" s="3" t="s">
        <v>6</v>
      </c>
      <c r="L122" s="5"/>
      <c r="M122" s="5">
        <v>36514</v>
      </c>
      <c r="N122" s="3" t="s">
        <v>7</v>
      </c>
      <c r="O122" s="3" t="s">
        <v>8</v>
      </c>
      <c r="P122" s="3" t="s">
        <v>6</v>
      </c>
      <c r="Q122" s="3" t="s">
        <v>6</v>
      </c>
      <c r="R122" s="10">
        <v>0</v>
      </c>
      <c r="S122" s="10">
        <v>45.453283489999997</v>
      </c>
      <c r="T122" s="10">
        <v>0</v>
      </c>
      <c r="U122" s="10">
        <v>0</v>
      </c>
      <c r="V122" s="10">
        <v>16.600000000000001</v>
      </c>
      <c r="W122" s="10">
        <v>11.891642989999999</v>
      </c>
      <c r="X122">
        <v>0</v>
      </c>
      <c r="Y122" s="10">
        <f t="shared" si="2"/>
        <v>45.453283489999997</v>
      </c>
      <c r="Z122" s="10">
        <f t="shared" si="3"/>
        <v>11.891642989999999</v>
      </c>
    </row>
    <row r="123" spans="1:26" x14ac:dyDescent="0.2">
      <c r="A123" s="3" t="s">
        <v>256</v>
      </c>
      <c r="B123" s="3" t="s">
        <v>257</v>
      </c>
      <c r="C123" s="3" t="s">
        <v>2</v>
      </c>
      <c r="D123" s="3" t="s">
        <v>3</v>
      </c>
      <c r="E123" s="3" t="s">
        <v>4</v>
      </c>
      <c r="F123" s="4">
        <v>240.79</v>
      </c>
      <c r="G123" s="4">
        <v>240.79</v>
      </c>
      <c r="H123" s="5">
        <v>45349</v>
      </c>
      <c r="I123" s="3" t="s">
        <v>21</v>
      </c>
      <c r="J123" s="3" t="s">
        <v>6</v>
      </c>
      <c r="K123" s="3" t="s">
        <v>6</v>
      </c>
      <c r="L123" s="5">
        <v>39097</v>
      </c>
      <c r="M123" s="5">
        <v>36514</v>
      </c>
      <c r="N123" s="3" t="s">
        <v>7</v>
      </c>
      <c r="O123" s="3" t="s">
        <v>8</v>
      </c>
      <c r="P123" s="3" t="s">
        <v>6</v>
      </c>
      <c r="Q123" s="3" t="s">
        <v>6</v>
      </c>
      <c r="R123" s="10">
        <v>0</v>
      </c>
      <c r="S123" s="10">
        <v>45.443466790000002</v>
      </c>
      <c r="T123" s="10">
        <v>0</v>
      </c>
      <c r="U123" s="10">
        <v>0</v>
      </c>
      <c r="V123" s="10">
        <v>7.7</v>
      </c>
      <c r="W123" s="10">
        <v>12.02132299</v>
      </c>
      <c r="X123">
        <v>0</v>
      </c>
      <c r="Y123" s="10">
        <f t="shared" si="2"/>
        <v>45.443466790000002</v>
      </c>
      <c r="Z123" s="10">
        <f t="shared" si="3"/>
        <v>12.02132299</v>
      </c>
    </row>
    <row r="124" spans="1:26" x14ac:dyDescent="0.2">
      <c r="A124" s="3" t="s">
        <v>258</v>
      </c>
      <c r="B124" s="3" t="s">
        <v>259</v>
      </c>
      <c r="C124" s="3" t="s">
        <v>11</v>
      </c>
      <c r="D124" s="3" t="s">
        <v>3</v>
      </c>
      <c r="E124" s="3" t="s">
        <v>4</v>
      </c>
      <c r="F124" s="4">
        <v>21.335999999999999</v>
      </c>
      <c r="G124" s="4">
        <v>21.335999999999999</v>
      </c>
      <c r="H124" s="5">
        <v>44111</v>
      </c>
      <c r="I124" s="3" t="s">
        <v>12</v>
      </c>
      <c r="J124" s="3" t="s">
        <v>6</v>
      </c>
      <c r="K124" s="3" t="s">
        <v>6</v>
      </c>
      <c r="L124" s="5"/>
      <c r="M124" s="5">
        <v>36514</v>
      </c>
      <c r="N124" s="3" t="s">
        <v>7</v>
      </c>
      <c r="O124" s="3" t="s">
        <v>8</v>
      </c>
      <c r="P124" s="3" t="s">
        <v>6</v>
      </c>
      <c r="Q124" s="3" t="s">
        <v>6</v>
      </c>
      <c r="R124" s="10">
        <v>0</v>
      </c>
      <c r="S124" s="10">
        <v>45.607692389999997</v>
      </c>
      <c r="T124" s="10">
        <v>0</v>
      </c>
      <c r="U124" s="10">
        <v>0</v>
      </c>
      <c r="V124" s="10">
        <v>33</v>
      </c>
      <c r="W124" s="10">
        <v>11.85252779</v>
      </c>
      <c r="X124">
        <v>0</v>
      </c>
      <c r="Y124" s="10">
        <f t="shared" si="2"/>
        <v>45.607692389999997</v>
      </c>
      <c r="Z124" s="10">
        <f t="shared" si="3"/>
        <v>11.85252779</v>
      </c>
    </row>
    <row r="125" spans="1:26" x14ac:dyDescent="0.2">
      <c r="A125" s="3" t="s">
        <v>260</v>
      </c>
      <c r="B125" s="3" t="s">
        <v>261</v>
      </c>
      <c r="C125" s="3" t="s">
        <v>2</v>
      </c>
      <c r="D125" s="3" t="s">
        <v>3</v>
      </c>
      <c r="E125" s="3" t="s">
        <v>4</v>
      </c>
      <c r="F125" s="4">
        <v>235.173</v>
      </c>
      <c r="G125" s="4">
        <v>235.173</v>
      </c>
      <c r="H125" s="5">
        <v>45349</v>
      </c>
      <c r="I125" s="3" t="s">
        <v>21</v>
      </c>
      <c r="J125" s="3" t="s">
        <v>6</v>
      </c>
      <c r="K125" s="3" t="s">
        <v>6</v>
      </c>
      <c r="L125" s="5">
        <v>42351</v>
      </c>
      <c r="M125" s="5">
        <v>42311</v>
      </c>
      <c r="N125" s="3" t="s">
        <v>7</v>
      </c>
      <c r="O125" s="3" t="s">
        <v>8</v>
      </c>
      <c r="P125" s="3" t="s">
        <v>6</v>
      </c>
      <c r="Q125" s="3" t="s">
        <v>6</v>
      </c>
      <c r="R125" s="10">
        <v>0</v>
      </c>
      <c r="S125" s="10">
        <v>45.430084290000003</v>
      </c>
      <c r="T125" s="10">
        <v>0</v>
      </c>
      <c r="U125" s="10">
        <v>0</v>
      </c>
      <c r="V125" s="10">
        <v>16.2</v>
      </c>
      <c r="W125" s="10">
        <v>11.95230789</v>
      </c>
      <c r="X125">
        <v>0</v>
      </c>
      <c r="Y125" s="10">
        <f t="shared" si="2"/>
        <v>45.430084290000003</v>
      </c>
      <c r="Z125" s="10">
        <f t="shared" si="3"/>
        <v>11.95230789</v>
      </c>
    </row>
    <row r="126" spans="1:26" x14ac:dyDescent="0.2">
      <c r="A126" s="3" t="s">
        <v>262</v>
      </c>
      <c r="B126" s="3" t="s">
        <v>263</v>
      </c>
      <c r="C126" s="3" t="s">
        <v>11</v>
      </c>
      <c r="D126" s="3" t="s">
        <v>3</v>
      </c>
      <c r="E126" s="3" t="s">
        <v>4</v>
      </c>
      <c r="F126" s="4">
        <v>13.56</v>
      </c>
      <c r="G126" s="4">
        <v>13.56</v>
      </c>
      <c r="H126" s="5">
        <v>44874</v>
      </c>
      <c r="I126" s="3" t="s">
        <v>5</v>
      </c>
      <c r="J126" s="3" t="s">
        <v>6</v>
      </c>
      <c r="K126" s="3" t="s">
        <v>6</v>
      </c>
      <c r="L126" s="5"/>
      <c r="M126" s="5">
        <v>36514</v>
      </c>
      <c r="N126" s="3" t="s">
        <v>7</v>
      </c>
      <c r="O126" s="3" t="s">
        <v>8</v>
      </c>
      <c r="P126" s="3" t="s">
        <v>6</v>
      </c>
      <c r="Q126" s="3" t="s">
        <v>6</v>
      </c>
      <c r="R126" s="10">
        <v>0</v>
      </c>
      <c r="S126" s="10">
        <v>45.989936299999997</v>
      </c>
      <c r="T126" s="10">
        <v>0</v>
      </c>
      <c r="U126" s="10">
        <v>0</v>
      </c>
      <c r="V126" s="10">
        <v>144.6</v>
      </c>
      <c r="W126" s="10">
        <v>12.2932899</v>
      </c>
      <c r="X126">
        <v>0</v>
      </c>
      <c r="Y126" s="10">
        <f t="shared" si="2"/>
        <v>45.989936299999997</v>
      </c>
      <c r="Z126" s="10">
        <f t="shared" si="3"/>
        <v>12.2932899</v>
      </c>
    </row>
    <row r="127" spans="1:26" x14ac:dyDescent="0.2">
      <c r="A127" s="3" t="s">
        <v>264</v>
      </c>
      <c r="B127" s="3" t="s">
        <v>265</v>
      </c>
      <c r="C127" s="3" t="s">
        <v>2</v>
      </c>
      <c r="D127" s="3" t="s">
        <v>3</v>
      </c>
      <c r="E127" s="3" t="s">
        <v>4</v>
      </c>
      <c r="F127" s="4">
        <v>40.35</v>
      </c>
      <c r="G127" s="4">
        <v>40.35</v>
      </c>
      <c r="H127" s="5">
        <v>44862</v>
      </c>
      <c r="I127" s="3" t="s">
        <v>5</v>
      </c>
      <c r="J127" s="3" t="s">
        <v>6</v>
      </c>
      <c r="K127" s="3" t="s">
        <v>6</v>
      </c>
      <c r="L127" s="5"/>
      <c r="M127" s="5">
        <v>37242</v>
      </c>
      <c r="N127" s="3" t="s">
        <v>7</v>
      </c>
      <c r="O127" s="3" t="s">
        <v>8</v>
      </c>
      <c r="P127" s="3" t="s">
        <v>6</v>
      </c>
      <c r="Q127" s="3" t="s">
        <v>6</v>
      </c>
      <c r="R127" s="10">
        <v>0</v>
      </c>
      <c r="S127" s="10">
        <v>45.77485789</v>
      </c>
      <c r="T127" s="10">
        <v>0</v>
      </c>
      <c r="U127" s="10">
        <v>0</v>
      </c>
      <c r="V127" s="10">
        <v>6.4</v>
      </c>
      <c r="W127" s="10">
        <v>12.680154290000001</v>
      </c>
      <c r="X127">
        <v>0</v>
      </c>
      <c r="Y127" s="10">
        <f t="shared" si="2"/>
        <v>45.77485789</v>
      </c>
      <c r="Z127" s="10">
        <f t="shared" si="3"/>
        <v>12.680154290000001</v>
      </c>
    </row>
    <row r="128" spans="1:26" x14ac:dyDescent="0.2">
      <c r="A128" s="3" t="s">
        <v>266</v>
      </c>
      <c r="B128" s="3" t="s">
        <v>267</v>
      </c>
      <c r="C128" s="3" t="s">
        <v>2</v>
      </c>
      <c r="D128" s="3" t="s">
        <v>3</v>
      </c>
      <c r="E128" s="3" t="s">
        <v>4</v>
      </c>
      <c r="F128" s="4">
        <v>227.559</v>
      </c>
      <c r="G128" s="4">
        <v>227.559</v>
      </c>
      <c r="H128" s="5">
        <v>44111</v>
      </c>
      <c r="I128" s="3" t="s">
        <v>12</v>
      </c>
      <c r="J128" s="3" t="s">
        <v>6</v>
      </c>
      <c r="K128" s="3" t="s">
        <v>6</v>
      </c>
      <c r="L128" s="5"/>
      <c r="M128" s="5">
        <v>36514</v>
      </c>
      <c r="N128" s="3" t="s">
        <v>7</v>
      </c>
      <c r="O128" s="3" t="s">
        <v>8</v>
      </c>
      <c r="P128" s="3" t="s">
        <v>6</v>
      </c>
      <c r="Q128" s="3" t="s">
        <v>6</v>
      </c>
      <c r="R128" s="10">
        <v>0</v>
      </c>
      <c r="S128" s="10">
        <v>45.425147289999998</v>
      </c>
      <c r="T128" s="10">
        <v>0</v>
      </c>
      <c r="U128" s="10">
        <v>0</v>
      </c>
      <c r="V128" s="10">
        <v>11.3</v>
      </c>
      <c r="W128" s="10">
        <v>11.85976449</v>
      </c>
      <c r="X128">
        <v>0</v>
      </c>
      <c r="Y128" s="10">
        <f t="shared" si="2"/>
        <v>45.425147289999998</v>
      </c>
      <c r="Z128" s="10">
        <f t="shared" si="3"/>
        <v>11.85976449</v>
      </c>
    </row>
    <row r="129" spans="1:26" x14ac:dyDescent="0.2">
      <c r="A129" s="3" t="s">
        <v>268</v>
      </c>
      <c r="B129" s="3" t="s">
        <v>269</v>
      </c>
      <c r="C129" s="3" t="s">
        <v>11</v>
      </c>
      <c r="D129" s="3" t="s">
        <v>3</v>
      </c>
      <c r="E129" s="3" t="s">
        <v>4</v>
      </c>
      <c r="F129" s="4">
        <v>7.1449999999999996</v>
      </c>
      <c r="G129" s="4">
        <v>7.1449999999999996</v>
      </c>
      <c r="H129" s="5">
        <v>44111</v>
      </c>
      <c r="I129" s="3" t="s">
        <v>12</v>
      </c>
      <c r="J129" s="3" t="s">
        <v>6</v>
      </c>
      <c r="K129" s="3" t="s">
        <v>6</v>
      </c>
      <c r="L129" s="5"/>
      <c r="M129" s="5">
        <v>36514</v>
      </c>
      <c r="N129" s="3" t="s">
        <v>7</v>
      </c>
      <c r="O129" s="3" t="s">
        <v>8</v>
      </c>
      <c r="P129" s="3" t="s">
        <v>6</v>
      </c>
      <c r="Q129" s="3" t="s">
        <v>6</v>
      </c>
      <c r="R129" s="10">
        <v>0</v>
      </c>
      <c r="S129" s="10">
        <v>45.677953789999997</v>
      </c>
      <c r="T129" s="10">
        <v>0</v>
      </c>
      <c r="U129" s="10">
        <v>0</v>
      </c>
      <c r="V129" s="10">
        <v>13.9</v>
      </c>
      <c r="W129" s="10">
        <v>12.329887100000001</v>
      </c>
      <c r="X129">
        <v>0</v>
      </c>
      <c r="Y129" s="10">
        <f t="shared" si="2"/>
        <v>45.677953789999997</v>
      </c>
      <c r="Z129" s="10">
        <f t="shared" si="3"/>
        <v>12.329887100000001</v>
      </c>
    </row>
    <row r="130" spans="1:26" x14ac:dyDescent="0.2">
      <c r="A130" s="3" t="s">
        <v>270</v>
      </c>
      <c r="B130" s="3" t="s">
        <v>271</v>
      </c>
      <c r="C130" s="3" t="s">
        <v>11</v>
      </c>
      <c r="D130" s="3" t="s">
        <v>3</v>
      </c>
      <c r="E130" s="3" t="s">
        <v>4</v>
      </c>
      <c r="F130" s="4">
        <v>11.000999999999999</v>
      </c>
      <c r="G130" s="4">
        <v>11.000999999999999</v>
      </c>
      <c r="H130" s="5">
        <v>45578</v>
      </c>
      <c r="I130" s="3" t="s">
        <v>5</v>
      </c>
      <c r="J130" s="3" t="s">
        <v>6</v>
      </c>
      <c r="K130" s="3" t="s">
        <v>6</v>
      </c>
      <c r="L130" s="5"/>
      <c r="M130" s="5">
        <v>36514</v>
      </c>
      <c r="N130" s="3" t="s">
        <v>7</v>
      </c>
      <c r="O130" s="3" t="s">
        <v>8</v>
      </c>
      <c r="P130" s="3" t="s">
        <v>6</v>
      </c>
      <c r="Q130" s="3" t="s">
        <v>6</v>
      </c>
      <c r="R130" s="10">
        <v>0</v>
      </c>
      <c r="S130" s="10">
        <v>45.68663789</v>
      </c>
      <c r="T130" s="10">
        <v>0</v>
      </c>
      <c r="U130" s="10">
        <v>0</v>
      </c>
      <c r="V130" s="10">
        <v>12.5</v>
      </c>
      <c r="W130" s="10">
        <v>12.37707159</v>
      </c>
      <c r="X130">
        <v>0</v>
      </c>
      <c r="Y130" s="10">
        <f t="shared" si="2"/>
        <v>45.68663789</v>
      </c>
      <c r="Z130" s="10">
        <f t="shared" si="3"/>
        <v>12.37707159</v>
      </c>
    </row>
    <row r="131" spans="1:26" x14ac:dyDescent="0.2">
      <c r="A131" s="3" t="s">
        <v>272</v>
      </c>
      <c r="B131" s="3" t="s">
        <v>273</v>
      </c>
      <c r="C131" s="3" t="s">
        <v>11</v>
      </c>
      <c r="D131" s="3" t="s">
        <v>3</v>
      </c>
      <c r="E131" s="3" t="s">
        <v>4</v>
      </c>
      <c r="F131" s="4">
        <v>16.25</v>
      </c>
      <c r="G131" s="4">
        <v>16.25</v>
      </c>
      <c r="H131" s="5">
        <v>45349</v>
      </c>
      <c r="I131" s="3" t="s">
        <v>21</v>
      </c>
      <c r="J131" s="3" t="s">
        <v>6</v>
      </c>
      <c r="K131" s="3" t="s">
        <v>6</v>
      </c>
      <c r="L131" s="5">
        <v>39224</v>
      </c>
      <c r="M131" s="5">
        <v>36514</v>
      </c>
      <c r="N131" s="3" t="s">
        <v>7</v>
      </c>
      <c r="O131" s="3" t="s">
        <v>8</v>
      </c>
      <c r="P131" s="3" t="s">
        <v>6</v>
      </c>
      <c r="Q131" s="3" t="s">
        <v>6</v>
      </c>
      <c r="R131" s="10">
        <v>0</v>
      </c>
      <c r="S131" s="10">
        <v>45.706019490000003</v>
      </c>
      <c r="T131" s="10">
        <v>0</v>
      </c>
      <c r="U131" s="10">
        <v>0</v>
      </c>
      <c r="V131" s="10">
        <v>12.9</v>
      </c>
      <c r="W131" s="10">
        <v>12.439393689999999</v>
      </c>
      <c r="X131">
        <v>0</v>
      </c>
      <c r="Y131" s="10">
        <f t="shared" ref="Y131:Y194" si="4">IF(LEFT(A131,2)="TR",(S131+R131)/2,S131)</f>
        <v>45.706019490000003</v>
      </c>
      <c r="Z131" s="10">
        <f t="shared" ref="Z131:Z194" si="5">IF(LEFT(A131,2)="TR",(W131+T131)/2,W131)</f>
        <v>12.439393689999999</v>
      </c>
    </row>
    <row r="132" spans="1:26" x14ac:dyDescent="0.2">
      <c r="A132" s="3" t="s">
        <v>274</v>
      </c>
      <c r="B132" s="3" t="s">
        <v>275</v>
      </c>
      <c r="C132" s="3" t="s">
        <v>11</v>
      </c>
      <c r="D132" s="3" t="s">
        <v>3</v>
      </c>
      <c r="E132" s="3" t="s">
        <v>4</v>
      </c>
      <c r="F132" s="4">
        <v>18.645</v>
      </c>
      <c r="G132" s="4">
        <v>18.645</v>
      </c>
      <c r="H132" s="5">
        <v>45443</v>
      </c>
      <c r="I132" s="3" t="s">
        <v>5</v>
      </c>
      <c r="J132" s="3" t="s">
        <v>6</v>
      </c>
      <c r="K132" s="3" t="s">
        <v>6</v>
      </c>
      <c r="L132" s="5"/>
      <c r="M132" s="5">
        <v>36514</v>
      </c>
      <c r="N132" s="3" t="s">
        <v>7</v>
      </c>
      <c r="O132" s="3" t="s">
        <v>8</v>
      </c>
      <c r="P132" s="3" t="s">
        <v>6</v>
      </c>
      <c r="Q132" s="3" t="s">
        <v>6</v>
      </c>
      <c r="R132" s="10">
        <v>0</v>
      </c>
      <c r="S132" s="10">
        <v>45.71961529</v>
      </c>
      <c r="T132" s="10">
        <v>0</v>
      </c>
      <c r="U132" s="10">
        <v>0</v>
      </c>
      <c r="V132" s="10">
        <v>10.9</v>
      </c>
      <c r="W132" s="10">
        <v>12.460689589999999</v>
      </c>
      <c r="X132">
        <v>0</v>
      </c>
      <c r="Y132" s="10">
        <f t="shared" si="4"/>
        <v>45.71961529</v>
      </c>
      <c r="Z132" s="10">
        <f t="shared" si="5"/>
        <v>12.460689589999999</v>
      </c>
    </row>
    <row r="133" spans="1:26" x14ac:dyDescent="0.2">
      <c r="A133" s="3" t="s">
        <v>276</v>
      </c>
      <c r="B133" s="3" t="s">
        <v>277</v>
      </c>
      <c r="C133" s="3" t="s">
        <v>11</v>
      </c>
      <c r="D133" s="3" t="s">
        <v>3</v>
      </c>
      <c r="E133" s="3" t="s">
        <v>4</v>
      </c>
      <c r="F133" s="4">
        <v>25.47</v>
      </c>
      <c r="G133" s="4">
        <v>25.47</v>
      </c>
      <c r="H133" s="5">
        <v>45443</v>
      </c>
      <c r="I133" s="3" t="s">
        <v>5</v>
      </c>
      <c r="J133" s="3" t="s">
        <v>6</v>
      </c>
      <c r="K133" s="3" t="s">
        <v>6</v>
      </c>
      <c r="L133" s="5"/>
      <c r="M133" s="5">
        <v>36514</v>
      </c>
      <c r="N133" s="3" t="s">
        <v>7</v>
      </c>
      <c r="O133" s="3" t="s">
        <v>8</v>
      </c>
      <c r="P133" s="3" t="s">
        <v>6</v>
      </c>
      <c r="Q133" s="3" t="s">
        <v>6</v>
      </c>
      <c r="R133" s="10">
        <v>0</v>
      </c>
      <c r="S133" s="10">
        <v>45.77494119</v>
      </c>
      <c r="T133" s="10">
        <v>0</v>
      </c>
      <c r="U133" s="10">
        <v>0</v>
      </c>
      <c r="V133" s="10">
        <v>11.4</v>
      </c>
      <c r="W133" s="10">
        <v>12.49111989</v>
      </c>
      <c r="X133">
        <v>0</v>
      </c>
      <c r="Y133" s="10">
        <f t="shared" si="4"/>
        <v>45.77494119</v>
      </c>
      <c r="Z133" s="10">
        <f t="shared" si="5"/>
        <v>12.49111989</v>
      </c>
    </row>
    <row r="134" spans="1:26" x14ac:dyDescent="0.2">
      <c r="A134" s="3" t="s">
        <v>278</v>
      </c>
      <c r="B134" s="3" t="s">
        <v>279</v>
      </c>
      <c r="C134" s="3" t="s">
        <v>11</v>
      </c>
      <c r="D134" s="3" t="s">
        <v>3</v>
      </c>
      <c r="E134" s="3" t="s">
        <v>4</v>
      </c>
      <c r="F134" s="4">
        <v>30.588000000000001</v>
      </c>
      <c r="G134" s="4">
        <v>30.588000000000001</v>
      </c>
      <c r="H134" s="5">
        <v>44111</v>
      </c>
      <c r="I134" s="3" t="s">
        <v>12</v>
      </c>
      <c r="J134" s="3" t="s">
        <v>6</v>
      </c>
      <c r="K134" s="3" t="s">
        <v>6</v>
      </c>
      <c r="L134" s="5"/>
      <c r="M134" s="5">
        <v>36514</v>
      </c>
      <c r="N134" s="3" t="s">
        <v>7</v>
      </c>
      <c r="O134" s="3" t="s">
        <v>8</v>
      </c>
      <c r="P134" s="3" t="s">
        <v>6</v>
      </c>
      <c r="Q134" s="3" t="s">
        <v>6</v>
      </c>
      <c r="R134" s="10">
        <v>0</v>
      </c>
      <c r="S134" s="10">
        <v>45.784437789999998</v>
      </c>
      <c r="T134" s="10">
        <v>0</v>
      </c>
      <c r="U134" s="10">
        <v>0</v>
      </c>
      <c r="V134" s="10">
        <v>9.6</v>
      </c>
      <c r="W134" s="10">
        <v>12.55374889</v>
      </c>
      <c r="X134">
        <v>0</v>
      </c>
      <c r="Y134" s="10">
        <f t="shared" si="4"/>
        <v>45.784437789999998</v>
      </c>
      <c r="Z134" s="10">
        <f t="shared" si="5"/>
        <v>12.55374889</v>
      </c>
    </row>
    <row r="135" spans="1:26" x14ac:dyDescent="0.2">
      <c r="A135" s="3" t="s">
        <v>280</v>
      </c>
      <c r="B135" s="3" t="s">
        <v>281</v>
      </c>
      <c r="C135" s="3" t="s">
        <v>11</v>
      </c>
      <c r="D135" s="3" t="s">
        <v>3</v>
      </c>
      <c r="E135" s="3" t="s">
        <v>4</v>
      </c>
      <c r="F135" s="4">
        <v>34.729999999999997</v>
      </c>
      <c r="G135" s="4">
        <v>34.729999999999997</v>
      </c>
      <c r="H135" s="5">
        <v>45422</v>
      </c>
      <c r="I135" s="3" t="s">
        <v>5</v>
      </c>
      <c r="J135" s="3" t="s">
        <v>6</v>
      </c>
      <c r="K135" s="3" t="s">
        <v>6</v>
      </c>
      <c r="L135" s="5"/>
      <c r="M135" s="5">
        <v>36514</v>
      </c>
      <c r="N135" s="3" t="s">
        <v>7</v>
      </c>
      <c r="O135" s="3" t="s">
        <v>8</v>
      </c>
      <c r="P135" s="3" t="s">
        <v>6</v>
      </c>
      <c r="Q135" s="3" t="s">
        <v>6</v>
      </c>
      <c r="R135" s="10">
        <v>0</v>
      </c>
      <c r="S135" s="10">
        <v>45.779053689999998</v>
      </c>
      <c r="T135" s="10">
        <v>0</v>
      </c>
      <c r="U135" s="10">
        <v>0</v>
      </c>
      <c r="V135" s="10">
        <v>8.4</v>
      </c>
      <c r="W135" s="10">
        <v>12.607536489999999</v>
      </c>
      <c r="X135">
        <v>0</v>
      </c>
      <c r="Y135" s="10">
        <f t="shared" si="4"/>
        <v>45.779053689999998</v>
      </c>
      <c r="Z135" s="10">
        <f t="shared" si="5"/>
        <v>12.607536489999999</v>
      </c>
    </row>
    <row r="136" spans="1:26" x14ac:dyDescent="0.2">
      <c r="A136" s="3" t="s">
        <v>282</v>
      </c>
      <c r="B136" s="3" t="s">
        <v>283</v>
      </c>
      <c r="C136" s="3" t="s">
        <v>2</v>
      </c>
      <c r="D136" s="3" t="s">
        <v>3</v>
      </c>
      <c r="E136" s="3" t="s">
        <v>4</v>
      </c>
      <c r="F136" s="4">
        <v>43.386000000000003</v>
      </c>
      <c r="G136" s="4">
        <v>43.386000000000003</v>
      </c>
      <c r="H136" s="5">
        <v>45009</v>
      </c>
      <c r="I136" s="3" t="s">
        <v>5</v>
      </c>
      <c r="J136" s="3" t="s">
        <v>6</v>
      </c>
      <c r="K136" s="3" t="s">
        <v>6</v>
      </c>
      <c r="L136" s="5"/>
      <c r="M136" s="5">
        <v>36514</v>
      </c>
      <c r="N136" s="3" t="s">
        <v>7</v>
      </c>
      <c r="O136" s="3" t="s">
        <v>8</v>
      </c>
      <c r="P136" s="3" t="s">
        <v>6</v>
      </c>
      <c r="Q136" s="3" t="s">
        <v>6</v>
      </c>
      <c r="R136" s="10">
        <v>0</v>
      </c>
      <c r="S136" s="10">
        <v>45.774570990000001</v>
      </c>
      <c r="T136" s="10">
        <v>0</v>
      </c>
      <c r="U136" s="10">
        <v>0</v>
      </c>
      <c r="V136" s="10">
        <v>4.8</v>
      </c>
      <c r="W136" s="10">
        <v>12.71721969</v>
      </c>
      <c r="X136">
        <v>0</v>
      </c>
      <c r="Y136" s="10">
        <f t="shared" si="4"/>
        <v>45.774570990000001</v>
      </c>
      <c r="Z136" s="10">
        <f t="shared" si="5"/>
        <v>12.71721969</v>
      </c>
    </row>
    <row r="137" spans="1:26" x14ac:dyDescent="0.2">
      <c r="A137" s="3" t="s">
        <v>284</v>
      </c>
      <c r="B137" s="3" t="s">
        <v>285</v>
      </c>
      <c r="C137" s="3" t="s">
        <v>2</v>
      </c>
      <c r="D137" s="3" t="s">
        <v>3</v>
      </c>
      <c r="E137" s="3" t="s">
        <v>4</v>
      </c>
      <c r="F137" s="4">
        <v>256.39999999999998</v>
      </c>
      <c r="G137" s="4">
        <v>256.39999999999998</v>
      </c>
      <c r="H137" s="5">
        <v>45644</v>
      </c>
      <c r="I137" s="3" t="s">
        <v>12</v>
      </c>
      <c r="J137" s="3" t="s">
        <v>6</v>
      </c>
      <c r="K137" s="3" t="s">
        <v>6</v>
      </c>
      <c r="L137" s="5">
        <v>39037</v>
      </c>
      <c r="M137" s="5">
        <v>39435</v>
      </c>
      <c r="N137" s="3" t="s">
        <v>7</v>
      </c>
      <c r="O137" s="3" t="s">
        <v>8</v>
      </c>
      <c r="P137" s="3" t="s">
        <v>6</v>
      </c>
      <c r="Q137" s="3" t="s">
        <v>6</v>
      </c>
      <c r="R137" s="10">
        <v>0</v>
      </c>
      <c r="S137" s="10">
        <v>45.483417789999997</v>
      </c>
      <c r="T137" s="10">
        <v>0</v>
      </c>
      <c r="U137" s="10">
        <v>0</v>
      </c>
      <c r="V137" s="10">
        <v>3.9</v>
      </c>
      <c r="W137" s="10">
        <v>12.213835789999999</v>
      </c>
      <c r="X137">
        <v>0</v>
      </c>
      <c r="Y137" s="10">
        <f t="shared" si="4"/>
        <v>45.483417789999997</v>
      </c>
      <c r="Z137" s="10">
        <f t="shared" si="5"/>
        <v>12.213835789999999</v>
      </c>
    </row>
    <row r="138" spans="1:26" x14ac:dyDescent="0.2">
      <c r="A138" s="3" t="s">
        <v>286</v>
      </c>
      <c r="B138" s="3" t="s">
        <v>287</v>
      </c>
      <c r="C138" s="3" t="s">
        <v>2</v>
      </c>
      <c r="D138" s="3" t="s">
        <v>3</v>
      </c>
      <c r="E138" s="3" t="s">
        <v>4</v>
      </c>
      <c r="F138" s="4">
        <v>5.79</v>
      </c>
      <c r="G138" s="4">
        <v>5.79</v>
      </c>
      <c r="H138" s="5">
        <v>45349</v>
      </c>
      <c r="I138" s="3" t="s">
        <v>21</v>
      </c>
      <c r="J138" s="3" t="s">
        <v>6</v>
      </c>
      <c r="K138" s="3" t="s">
        <v>6</v>
      </c>
      <c r="L138" s="5">
        <v>40211</v>
      </c>
      <c r="M138" s="5">
        <v>40206</v>
      </c>
      <c r="N138" s="3" t="s">
        <v>7</v>
      </c>
      <c r="O138" s="3" t="s">
        <v>8</v>
      </c>
      <c r="P138" s="3" t="s">
        <v>6</v>
      </c>
      <c r="Q138" s="3" t="s">
        <v>6</v>
      </c>
      <c r="R138" s="10">
        <v>0</v>
      </c>
      <c r="S138" s="10">
        <v>45.530291089999999</v>
      </c>
      <c r="T138" s="10">
        <v>0</v>
      </c>
      <c r="U138" s="10">
        <v>0</v>
      </c>
      <c r="V138" s="10">
        <v>5.8</v>
      </c>
      <c r="W138" s="10">
        <v>12.229012689999999</v>
      </c>
      <c r="X138">
        <v>0</v>
      </c>
      <c r="Y138" s="10">
        <f t="shared" si="4"/>
        <v>45.530291089999999</v>
      </c>
      <c r="Z138" s="10">
        <f t="shared" si="5"/>
        <v>12.229012689999999</v>
      </c>
    </row>
    <row r="139" spans="1:26" x14ac:dyDescent="0.2">
      <c r="A139" s="3" t="s">
        <v>288</v>
      </c>
      <c r="B139" s="3" t="s">
        <v>289</v>
      </c>
      <c r="C139" s="3" t="s">
        <v>2</v>
      </c>
      <c r="D139" s="3" t="s">
        <v>3</v>
      </c>
      <c r="E139" s="3" t="s">
        <v>4</v>
      </c>
      <c r="F139" s="4">
        <v>3.9390000000000001</v>
      </c>
      <c r="G139" s="4">
        <v>3.9390000000000001</v>
      </c>
      <c r="H139" s="5">
        <v>45461</v>
      </c>
      <c r="I139" s="3" t="s">
        <v>5</v>
      </c>
      <c r="J139" s="3" t="s">
        <v>6</v>
      </c>
      <c r="K139" s="3" t="s">
        <v>6</v>
      </c>
      <c r="L139" s="5">
        <v>39598</v>
      </c>
      <c r="M139" s="5">
        <v>39632</v>
      </c>
      <c r="N139" s="3" t="s">
        <v>7</v>
      </c>
      <c r="O139" s="3" t="s">
        <v>8</v>
      </c>
      <c r="P139" s="3" t="s">
        <v>6</v>
      </c>
      <c r="Q139" s="3" t="s">
        <v>6</v>
      </c>
      <c r="R139" s="10">
        <v>0</v>
      </c>
      <c r="S139" s="10">
        <v>45.512920700000002</v>
      </c>
      <c r="T139" s="10">
        <v>0</v>
      </c>
      <c r="U139" s="10">
        <v>0</v>
      </c>
      <c r="V139" s="10">
        <v>7.8</v>
      </c>
      <c r="W139" s="10">
        <v>12.225656989999999</v>
      </c>
      <c r="X139">
        <v>0</v>
      </c>
      <c r="Y139" s="10">
        <f t="shared" si="4"/>
        <v>45.512920700000002</v>
      </c>
      <c r="Z139" s="10">
        <f t="shared" si="5"/>
        <v>12.225656989999999</v>
      </c>
    </row>
    <row r="140" spans="1:26" x14ac:dyDescent="0.2">
      <c r="A140" s="3" t="s">
        <v>313</v>
      </c>
      <c r="B140" s="3" t="s">
        <v>314</v>
      </c>
      <c r="C140" s="3" t="s">
        <v>2</v>
      </c>
      <c r="D140" s="3" t="s">
        <v>3</v>
      </c>
      <c r="E140" s="3" t="s">
        <v>4</v>
      </c>
      <c r="F140" s="3">
        <v>230.61799999999999</v>
      </c>
      <c r="G140" s="3">
        <v>256.39999999999998</v>
      </c>
      <c r="H140" s="3">
        <v>45057</v>
      </c>
      <c r="I140" s="3" t="s">
        <v>5</v>
      </c>
      <c r="J140" s="3" t="s">
        <v>6</v>
      </c>
      <c r="K140" s="3" t="s">
        <v>6</v>
      </c>
      <c r="L140" s="3">
        <v>40307</v>
      </c>
      <c r="M140" s="3">
        <v>39115</v>
      </c>
      <c r="N140" s="3" t="s">
        <v>7</v>
      </c>
      <c r="O140" s="3" t="s">
        <v>8</v>
      </c>
      <c r="P140" s="3" t="s">
        <v>6</v>
      </c>
      <c r="Q140" s="3" t="s">
        <v>315</v>
      </c>
      <c r="R140" s="10">
        <v>45.483417789999997</v>
      </c>
      <c r="S140" s="10">
        <v>45.41915899</v>
      </c>
      <c r="T140" s="10">
        <v>12.213835789999999</v>
      </c>
      <c r="U140" s="10">
        <v>3.9</v>
      </c>
      <c r="V140" s="10">
        <v>10.8</v>
      </c>
      <c r="W140" s="10">
        <v>11.895946289999999</v>
      </c>
      <c r="X140">
        <v>0</v>
      </c>
      <c r="Y140" s="10">
        <f t="shared" si="4"/>
        <v>45.451288390000002</v>
      </c>
      <c r="Z140" s="10">
        <f t="shared" si="5"/>
        <v>12.054891039999999</v>
      </c>
    </row>
    <row r="141" spans="1:26" x14ac:dyDescent="0.2">
      <c r="A141" s="3" t="s">
        <v>316</v>
      </c>
      <c r="B141" s="3" t="s">
        <v>317</v>
      </c>
      <c r="C141" s="3" t="s">
        <v>11</v>
      </c>
      <c r="D141" s="3" t="s">
        <v>3</v>
      </c>
      <c r="E141" s="3" t="s">
        <v>4</v>
      </c>
      <c r="F141" s="3">
        <v>103.033</v>
      </c>
      <c r="G141" s="3">
        <v>110.578</v>
      </c>
      <c r="H141" s="3">
        <v>44111</v>
      </c>
      <c r="I141" s="3" t="s">
        <v>12</v>
      </c>
      <c r="J141" s="3" t="s">
        <v>6</v>
      </c>
      <c r="K141" s="3" t="s">
        <v>6</v>
      </c>
      <c r="L141" s="3">
        <v>38744</v>
      </c>
      <c r="M141" s="3">
        <v>39644</v>
      </c>
      <c r="N141" s="3" t="s">
        <v>7</v>
      </c>
      <c r="O141" s="3" t="s">
        <v>8</v>
      </c>
      <c r="P141" s="3" t="s">
        <v>6</v>
      </c>
      <c r="Q141" s="3" t="s">
        <v>318</v>
      </c>
      <c r="R141" s="10">
        <v>46.267456189999997</v>
      </c>
      <c r="S141" s="10">
        <v>46.325761489999998</v>
      </c>
      <c r="T141" s="10">
        <v>12.301964890000001</v>
      </c>
      <c r="U141" s="10">
        <v>466.1</v>
      </c>
      <c r="V141" s="10">
        <v>505.1</v>
      </c>
      <c r="W141" s="10">
        <v>12.31844239</v>
      </c>
      <c r="X141">
        <v>0</v>
      </c>
      <c r="Y141" s="10">
        <f t="shared" si="4"/>
        <v>46.296608839999998</v>
      </c>
      <c r="Z141" s="10">
        <f t="shared" si="5"/>
        <v>12.310203640000001</v>
      </c>
    </row>
    <row r="142" spans="1:26" x14ac:dyDescent="0.2">
      <c r="A142" s="3" t="s">
        <v>319</v>
      </c>
      <c r="B142" s="3" t="s">
        <v>320</v>
      </c>
      <c r="C142" s="3" t="s">
        <v>11</v>
      </c>
      <c r="D142" s="3" t="s">
        <v>3</v>
      </c>
      <c r="E142" s="3" t="s">
        <v>4</v>
      </c>
      <c r="F142" s="3">
        <v>20.908000000000001</v>
      </c>
      <c r="G142" s="3">
        <v>23.352</v>
      </c>
      <c r="H142" s="3">
        <v>44820</v>
      </c>
      <c r="I142" s="3" t="s">
        <v>149</v>
      </c>
      <c r="J142" s="3" t="s">
        <v>6</v>
      </c>
      <c r="K142" s="3" t="s">
        <v>6</v>
      </c>
      <c r="L142" s="3">
        <v>39057</v>
      </c>
      <c r="M142" s="3">
        <v>37949</v>
      </c>
      <c r="N142" s="3" t="s">
        <v>7</v>
      </c>
      <c r="O142" s="3" t="s">
        <v>8</v>
      </c>
      <c r="P142" s="3" t="s">
        <v>6</v>
      </c>
      <c r="Q142" s="3" t="s">
        <v>321</v>
      </c>
      <c r="R142" s="10">
        <v>45.659600990000001</v>
      </c>
      <c r="S142" s="10">
        <v>45.675387989999997</v>
      </c>
      <c r="T142" s="10">
        <v>12.24615039</v>
      </c>
      <c r="U142" s="10">
        <v>18.600000000000001</v>
      </c>
      <c r="V142" s="10">
        <v>17</v>
      </c>
      <c r="W142" s="10">
        <v>12.25989789</v>
      </c>
      <c r="X142">
        <v>0</v>
      </c>
      <c r="Y142" s="10">
        <f t="shared" si="4"/>
        <v>45.667494489999996</v>
      </c>
      <c r="Z142" s="10">
        <f t="shared" si="5"/>
        <v>12.253024140000001</v>
      </c>
    </row>
    <row r="143" spans="1:26" x14ac:dyDescent="0.2">
      <c r="A143" s="3" t="s">
        <v>322</v>
      </c>
      <c r="B143" s="3" t="s">
        <v>323</v>
      </c>
      <c r="C143" s="3" t="s">
        <v>11</v>
      </c>
      <c r="D143" s="3" t="s">
        <v>3</v>
      </c>
      <c r="E143" s="3" t="s">
        <v>4</v>
      </c>
      <c r="F143" s="3">
        <v>47.860999999999997</v>
      </c>
      <c r="G143" s="3">
        <v>49.744</v>
      </c>
      <c r="H143" s="3">
        <v>44820</v>
      </c>
      <c r="I143" s="3" t="s">
        <v>149</v>
      </c>
      <c r="J143" s="3" t="s">
        <v>6</v>
      </c>
      <c r="K143" s="3" t="s">
        <v>6</v>
      </c>
      <c r="L143" s="3">
        <v>39014</v>
      </c>
      <c r="M143" s="3">
        <v>37949</v>
      </c>
      <c r="N143" s="3" t="s">
        <v>7</v>
      </c>
      <c r="O143" s="3" t="s">
        <v>8</v>
      </c>
      <c r="P143" s="3" t="s">
        <v>6</v>
      </c>
      <c r="Q143" s="3" t="s">
        <v>6</v>
      </c>
      <c r="R143" s="10">
        <v>45.88469379</v>
      </c>
      <c r="S143" s="10">
        <v>45.892900990000001</v>
      </c>
      <c r="T143" s="10">
        <v>12.298925690000001</v>
      </c>
      <c r="U143" s="10">
        <v>62.6</v>
      </c>
      <c r="V143" s="10">
        <v>59.4</v>
      </c>
      <c r="W143" s="10">
        <v>12.320192090000001</v>
      </c>
      <c r="X143">
        <v>0</v>
      </c>
      <c r="Y143" s="10">
        <f t="shared" si="4"/>
        <v>45.888797390000001</v>
      </c>
      <c r="Z143" s="10">
        <f t="shared" si="5"/>
        <v>12.309558890000002</v>
      </c>
    </row>
    <row r="144" spans="1:26" x14ac:dyDescent="0.2">
      <c r="A144" s="3" t="s">
        <v>324</v>
      </c>
      <c r="B144" s="3" t="s">
        <v>325</v>
      </c>
      <c r="C144" s="3" t="s">
        <v>2</v>
      </c>
      <c r="D144" s="3" t="s">
        <v>3</v>
      </c>
      <c r="E144" s="3" t="s">
        <v>4</v>
      </c>
      <c r="F144" s="3">
        <v>264.83999999999997</v>
      </c>
      <c r="G144" s="3">
        <v>266.34100000000001</v>
      </c>
      <c r="H144" s="3">
        <v>44615</v>
      </c>
      <c r="I144" s="3" t="s">
        <v>24</v>
      </c>
      <c r="J144" s="3" t="s">
        <v>6</v>
      </c>
      <c r="K144" s="3" t="s">
        <v>6</v>
      </c>
      <c r="L144" s="3"/>
      <c r="M144" s="3">
        <v>37949</v>
      </c>
      <c r="N144" s="3" t="s">
        <v>7</v>
      </c>
      <c r="O144" s="3" t="s">
        <v>8</v>
      </c>
      <c r="P144" s="3" t="s">
        <v>6</v>
      </c>
      <c r="Q144" s="3" t="s">
        <v>6</v>
      </c>
      <c r="R144" s="10">
        <v>45.441329799999998</v>
      </c>
      <c r="S144" s="10">
        <v>45.449839590000003</v>
      </c>
      <c r="T144" s="10">
        <v>12.32068759</v>
      </c>
      <c r="U144" s="10">
        <v>2</v>
      </c>
      <c r="V144" s="10">
        <v>0</v>
      </c>
      <c r="W144" s="10">
        <v>12.30614059</v>
      </c>
      <c r="X144">
        <v>0</v>
      </c>
      <c r="Y144" s="10">
        <f t="shared" si="4"/>
        <v>45.445584695000001</v>
      </c>
      <c r="Z144" s="10">
        <f t="shared" si="5"/>
        <v>12.31341409</v>
      </c>
    </row>
    <row r="145" spans="1:26" x14ac:dyDescent="0.2">
      <c r="A145" s="3" t="s">
        <v>326</v>
      </c>
      <c r="B145" s="3" t="s">
        <v>327</v>
      </c>
      <c r="C145" s="3" t="s">
        <v>2</v>
      </c>
      <c r="D145" s="3" t="s">
        <v>3</v>
      </c>
      <c r="E145" s="3" t="s">
        <v>4</v>
      </c>
      <c r="F145" s="3">
        <v>264.83999999999997</v>
      </c>
      <c r="G145" s="3">
        <v>266.34100000000001</v>
      </c>
      <c r="H145" s="3">
        <v>44615</v>
      </c>
      <c r="I145" s="3" t="s">
        <v>24</v>
      </c>
      <c r="J145" s="3" t="s">
        <v>6</v>
      </c>
      <c r="K145" s="3" t="s">
        <v>6</v>
      </c>
      <c r="L145" s="3"/>
      <c r="M145" s="3">
        <v>37949</v>
      </c>
      <c r="N145" s="3" t="s">
        <v>7</v>
      </c>
      <c r="O145" s="3" t="s">
        <v>8</v>
      </c>
      <c r="P145" s="3" t="s">
        <v>6</v>
      </c>
      <c r="Q145" s="3" t="s">
        <v>6</v>
      </c>
      <c r="R145" s="10">
        <v>45.441329799999998</v>
      </c>
      <c r="S145" s="10">
        <v>45.449839590000003</v>
      </c>
      <c r="T145" s="10">
        <v>12.32068759</v>
      </c>
      <c r="U145" s="10">
        <v>2</v>
      </c>
      <c r="V145" s="10">
        <v>0</v>
      </c>
      <c r="W145" s="10">
        <v>12.30614059</v>
      </c>
      <c r="X145">
        <v>0</v>
      </c>
      <c r="Y145" s="10">
        <f t="shared" si="4"/>
        <v>45.445584695000001</v>
      </c>
      <c r="Z145" s="10">
        <f t="shared" si="5"/>
        <v>12.31341409</v>
      </c>
    </row>
    <row r="146" spans="1:26" x14ac:dyDescent="0.2">
      <c r="A146" s="3" t="s">
        <v>328</v>
      </c>
      <c r="B146" s="3" t="s">
        <v>329</v>
      </c>
      <c r="C146" s="3" t="s">
        <v>11</v>
      </c>
      <c r="D146" s="3" t="s">
        <v>3</v>
      </c>
      <c r="E146" s="3" t="s">
        <v>4</v>
      </c>
      <c r="F146" s="3">
        <v>32.628999999999998</v>
      </c>
      <c r="G146" s="3">
        <v>39.947000000000003</v>
      </c>
      <c r="H146" s="3">
        <v>44707</v>
      </c>
      <c r="I146" s="3" t="s">
        <v>31</v>
      </c>
      <c r="J146" s="3" t="s">
        <v>6</v>
      </c>
      <c r="K146" s="3" t="s">
        <v>6</v>
      </c>
      <c r="L146" s="3"/>
      <c r="M146" s="3">
        <v>39644</v>
      </c>
      <c r="N146" s="3" t="s">
        <v>7</v>
      </c>
      <c r="O146" s="3" t="s">
        <v>8</v>
      </c>
      <c r="P146" s="3" t="s">
        <v>6</v>
      </c>
      <c r="Q146" s="3" t="s">
        <v>330</v>
      </c>
      <c r="R146" s="10">
        <v>46.138038790000003</v>
      </c>
      <c r="S146" s="10">
        <v>46.182316399999998</v>
      </c>
      <c r="T146" s="10">
        <v>12.316067800000001</v>
      </c>
      <c r="U146" s="10">
        <v>394.2</v>
      </c>
      <c r="V146" s="10">
        <v>398.9</v>
      </c>
      <c r="W146" s="10">
        <v>12.27762699</v>
      </c>
      <c r="X146">
        <v>0</v>
      </c>
      <c r="Y146" s="10">
        <f t="shared" si="4"/>
        <v>46.160177595</v>
      </c>
      <c r="Z146" s="10">
        <f t="shared" si="5"/>
        <v>12.296847395</v>
      </c>
    </row>
    <row r="147" spans="1:26" x14ac:dyDescent="0.2">
      <c r="A147" s="3" t="s">
        <v>331</v>
      </c>
      <c r="B147" s="3" t="s">
        <v>332</v>
      </c>
      <c r="C147" s="3" t="s">
        <v>11</v>
      </c>
      <c r="D147" s="3" t="s">
        <v>3</v>
      </c>
      <c r="E147" s="3" t="s">
        <v>4</v>
      </c>
      <c r="F147" s="3">
        <v>58.42</v>
      </c>
      <c r="G147" s="3">
        <v>60.06</v>
      </c>
      <c r="H147" s="3">
        <v>44820</v>
      </c>
      <c r="I147" s="3" t="s">
        <v>149</v>
      </c>
      <c r="J147" s="3" t="s">
        <v>6</v>
      </c>
      <c r="K147" s="3" t="s">
        <v>6</v>
      </c>
      <c r="L147" s="3">
        <v>39044</v>
      </c>
      <c r="M147" s="3">
        <v>39646</v>
      </c>
      <c r="N147" s="3" t="s">
        <v>7</v>
      </c>
      <c r="O147" s="3" t="s">
        <v>8</v>
      </c>
      <c r="P147" s="3" t="s">
        <v>6</v>
      </c>
      <c r="Q147" s="3" t="s">
        <v>6</v>
      </c>
      <c r="R147" s="10">
        <v>45.659600990000001</v>
      </c>
      <c r="S147" s="10">
        <v>45.66333779</v>
      </c>
      <c r="T147" s="10">
        <v>12.24615039</v>
      </c>
      <c r="U147" s="10">
        <v>18.600000000000001</v>
      </c>
      <c r="V147" s="10">
        <v>15.7</v>
      </c>
      <c r="W147" s="10">
        <v>12.22573719</v>
      </c>
      <c r="X147">
        <v>0</v>
      </c>
      <c r="Y147" s="10">
        <f t="shared" si="4"/>
        <v>45.661469390000001</v>
      </c>
      <c r="Z147" s="10">
        <f t="shared" si="5"/>
        <v>12.23594379</v>
      </c>
    </row>
    <row r="148" spans="1:26" x14ac:dyDescent="0.2">
      <c r="A148" s="3" t="s">
        <v>333</v>
      </c>
      <c r="B148" s="3" t="s">
        <v>334</v>
      </c>
      <c r="C148" s="3" t="s">
        <v>2</v>
      </c>
      <c r="D148" s="3" t="s">
        <v>3</v>
      </c>
      <c r="E148" s="3" t="s">
        <v>4</v>
      </c>
      <c r="F148" s="3">
        <v>0.93600000000000005</v>
      </c>
      <c r="G148" s="3">
        <v>1.355</v>
      </c>
      <c r="H148" s="3">
        <v>44111</v>
      </c>
      <c r="I148" s="3" t="s">
        <v>12</v>
      </c>
      <c r="J148" s="3" t="s">
        <v>6</v>
      </c>
      <c r="K148" s="3" t="s">
        <v>6</v>
      </c>
      <c r="L148" s="3">
        <v>38708</v>
      </c>
      <c r="M148" s="3">
        <v>40073</v>
      </c>
      <c r="N148" s="3" t="s">
        <v>7</v>
      </c>
      <c r="O148" s="3" t="s">
        <v>8</v>
      </c>
      <c r="P148" s="3" t="s">
        <v>6</v>
      </c>
      <c r="Q148" s="3" t="s">
        <v>6</v>
      </c>
      <c r="R148" s="10">
        <v>45.484320390000001</v>
      </c>
      <c r="S148" s="10">
        <v>45.486904099999997</v>
      </c>
      <c r="T148" s="10">
        <v>12.22103489</v>
      </c>
      <c r="U148" s="10">
        <v>3.6</v>
      </c>
      <c r="V148" s="10">
        <v>4</v>
      </c>
      <c r="W148" s="10">
        <v>12.22319469</v>
      </c>
      <c r="X148">
        <v>0</v>
      </c>
      <c r="Y148" s="10">
        <f t="shared" si="4"/>
        <v>45.485612244999999</v>
      </c>
      <c r="Z148" s="10">
        <f t="shared" si="5"/>
        <v>12.222114789999999</v>
      </c>
    </row>
    <row r="149" spans="1:26" x14ac:dyDescent="0.2">
      <c r="A149" s="3" t="s">
        <v>335</v>
      </c>
      <c r="B149" s="3" t="s">
        <v>336</v>
      </c>
      <c r="C149" s="3" t="s">
        <v>11</v>
      </c>
      <c r="D149" s="3" t="s">
        <v>3</v>
      </c>
      <c r="E149" s="3" t="s">
        <v>4</v>
      </c>
      <c r="F149" s="3">
        <v>51.283000000000001</v>
      </c>
      <c r="G149" s="3">
        <v>57.493000000000002</v>
      </c>
      <c r="H149" s="3">
        <v>45327</v>
      </c>
      <c r="I149" s="3" t="s">
        <v>5</v>
      </c>
      <c r="J149" s="3" t="s">
        <v>6</v>
      </c>
      <c r="K149" s="3" t="s">
        <v>6</v>
      </c>
      <c r="L149" s="3">
        <v>40313</v>
      </c>
      <c r="M149" s="3">
        <v>40308</v>
      </c>
      <c r="N149" s="3" t="s">
        <v>7</v>
      </c>
      <c r="O149" s="3" t="s">
        <v>8</v>
      </c>
      <c r="P149" s="3" t="s">
        <v>6</v>
      </c>
      <c r="Q149" s="3" t="s">
        <v>337</v>
      </c>
      <c r="R149" s="10">
        <v>45.766683790000002</v>
      </c>
      <c r="S149" s="10">
        <v>45.815428390000001</v>
      </c>
      <c r="T149" s="10">
        <v>11.741536290000001</v>
      </c>
      <c r="U149" s="10">
        <v>129.19999999999999</v>
      </c>
      <c r="V149" s="10">
        <v>135.9</v>
      </c>
      <c r="W149" s="10">
        <v>11.72135349</v>
      </c>
      <c r="X149">
        <v>0</v>
      </c>
      <c r="Y149" s="10">
        <f t="shared" si="4"/>
        <v>45.791056089999998</v>
      </c>
      <c r="Z149" s="10">
        <f t="shared" si="5"/>
        <v>11.731444890000001</v>
      </c>
    </row>
    <row r="150" spans="1:26" x14ac:dyDescent="0.2">
      <c r="A150" s="3" t="s">
        <v>338</v>
      </c>
      <c r="B150" s="3" t="s">
        <v>339</v>
      </c>
      <c r="C150" s="3" t="s">
        <v>2</v>
      </c>
      <c r="D150" s="3" t="s">
        <v>3</v>
      </c>
      <c r="E150" s="3" t="s">
        <v>4</v>
      </c>
      <c r="F150" s="3">
        <v>0</v>
      </c>
      <c r="G150" s="3">
        <v>0.93600000000000005</v>
      </c>
      <c r="H150" s="3">
        <v>44111</v>
      </c>
      <c r="I150" s="3" t="s">
        <v>12</v>
      </c>
      <c r="J150" s="3" t="s">
        <v>6</v>
      </c>
      <c r="K150" s="3" t="s">
        <v>6</v>
      </c>
      <c r="L150" s="3">
        <v>40307</v>
      </c>
      <c r="M150" s="3">
        <v>40305</v>
      </c>
      <c r="N150" s="3" t="s">
        <v>7</v>
      </c>
      <c r="O150" s="3" t="s">
        <v>8</v>
      </c>
      <c r="P150" s="3" t="s">
        <v>6</v>
      </c>
      <c r="Q150" s="3" t="s">
        <v>340</v>
      </c>
      <c r="R150" s="10">
        <v>45.483417789999997</v>
      </c>
      <c r="S150" s="10">
        <v>45.484320390000001</v>
      </c>
      <c r="T150" s="10">
        <v>12.213835789999999</v>
      </c>
      <c r="U150" s="10">
        <v>3.9</v>
      </c>
      <c r="V150" s="10">
        <v>3.6</v>
      </c>
      <c r="W150" s="10">
        <v>12.22103489</v>
      </c>
      <c r="X150">
        <v>0</v>
      </c>
      <c r="Y150" s="10">
        <f t="shared" si="4"/>
        <v>45.483869089999999</v>
      </c>
      <c r="Z150" s="10">
        <f t="shared" si="5"/>
        <v>12.21743534</v>
      </c>
    </row>
    <row r="151" spans="1:26" x14ac:dyDescent="0.2">
      <c r="A151" s="3" t="s">
        <v>341</v>
      </c>
      <c r="B151" s="3" t="s">
        <v>342</v>
      </c>
      <c r="C151" s="3" t="s">
        <v>2</v>
      </c>
      <c r="D151" s="3" t="s">
        <v>3</v>
      </c>
      <c r="E151" s="3" t="s">
        <v>4</v>
      </c>
      <c r="F151" s="3">
        <v>256.39999999999998</v>
      </c>
      <c r="G151" s="3">
        <v>257.90699999999998</v>
      </c>
      <c r="H151" s="3">
        <v>44111</v>
      </c>
      <c r="I151" s="3" t="s">
        <v>12</v>
      </c>
      <c r="J151" s="3" t="s">
        <v>6</v>
      </c>
      <c r="K151" s="3" t="s">
        <v>6</v>
      </c>
      <c r="L151" s="3">
        <v>40307</v>
      </c>
      <c r="M151" s="3">
        <v>40305</v>
      </c>
      <c r="N151" s="3" t="s">
        <v>7</v>
      </c>
      <c r="O151" s="3" t="s">
        <v>8</v>
      </c>
      <c r="P151" s="3" t="s">
        <v>6</v>
      </c>
      <c r="Q151" s="3" t="s">
        <v>343</v>
      </c>
      <c r="R151" s="10">
        <v>45.482123889999997</v>
      </c>
      <c r="S151" s="10">
        <v>45.483417789999997</v>
      </c>
      <c r="T151" s="10">
        <v>12.23207539</v>
      </c>
      <c r="U151" s="10">
        <v>3.4</v>
      </c>
      <c r="V151" s="10">
        <v>3.9</v>
      </c>
      <c r="W151" s="10">
        <v>12.213835789999999</v>
      </c>
      <c r="X151">
        <v>0</v>
      </c>
      <c r="Y151" s="10">
        <f t="shared" si="4"/>
        <v>45.482770840000001</v>
      </c>
      <c r="Z151" s="10">
        <f t="shared" si="5"/>
        <v>12.22295559</v>
      </c>
    </row>
    <row r="152" spans="1:26" x14ac:dyDescent="0.2">
      <c r="A152" s="3" t="s">
        <v>344</v>
      </c>
      <c r="B152" s="3" t="s">
        <v>345</v>
      </c>
      <c r="C152" s="3" t="s">
        <v>2</v>
      </c>
      <c r="D152" s="3" t="s">
        <v>3</v>
      </c>
      <c r="E152" s="3" t="s">
        <v>4</v>
      </c>
      <c r="F152" s="3">
        <v>3.903</v>
      </c>
      <c r="G152" s="3">
        <v>10.715</v>
      </c>
      <c r="H152" s="3">
        <v>44111</v>
      </c>
      <c r="I152" s="3" t="s">
        <v>12</v>
      </c>
      <c r="J152" s="3" t="s">
        <v>6</v>
      </c>
      <c r="K152" s="3" t="s">
        <v>6</v>
      </c>
      <c r="L152" s="3">
        <v>39796</v>
      </c>
      <c r="M152" s="3">
        <v>39946</v>
      </c>
      <c r="N152" s="3" t="s">
        <v>7</v>
      </c>
      <c r="O152" s="3" t="s">
        <v>8</v>
      </c>
      <c r="P152" s="3" t="s">
        <v>6</v>
      </c>
      <c r="Q152" s="3" t="s">
        <v>346</v>
      </c>
      <c r="R152" s="10">
        <v>45.54558299</v>
      </c>
      <c r="S152" s="10">
        <v>45.506697090000003</v>
      </c>
      <c r="T152" s="10">
        <v>12.31496319</v>
      </c>
      <c r="U152" s="10">
        <v>3.3</v>
      </c>
      <c r="V152" s="10">
        <v>3.8</v>
      </c>
      <c r="W152" s="10">
        <v>12.24760689</v>
      </c>
      <c r="X152">
        <v>0</v>
      </c>
      <c r="Y152" s="10">
        <f t="shared" si="4"/>
        <v>45.526140040000001</v>
      </c>
      <c r="Z152" s="10">
        <f t="shared" si="5"/>
        <v>12.28128504</v>
      </c>
    </row>
    <row r="153" spans="1:26" x14ac:dyDescent="0.2">
      <c r="A153" s="3" t="s">
        <v>347</v>
      </c>
      <c r="B153" s="3" t="s">
        <v>348</v>
      </c>
      <c r="C153" s="3" t="s">
        <v>2</v>
      </c>
      <c r="D153" s="3" t="s">
        <v>3</v>
      </c>
      <c r="E153" s="3" t="s">
        <v>4</v>
      </c>
      <c r="F153" s="3">
        <v>34.729999999999997</v>
      </c>
      <c r="G153" s="3">
        <v>40.35</v>
      </c>
      <c r="H153" s="3">
        <v>44111</v>
      </c>
      <c r="I153" s="3" t="s">
        <v>12</v>
      </c>
      <c r="J153" s="3" t="s">
        <v>6</v>
      </c>
      <c r="K153" s="3" t="s">
        <v>6</v>
      </c>
      <c r="L153" s="3"/>
      <c r="M153" s="3">
        <v>37242</v>
      </c>
      <c r="N153" s="3" t="s">
        <v>7</v>
      </c>
      <c r="O153" s="3" t="s">
        <v>8</v>
      </c>
      <c r="P153" s="3" t="s">
        <v>6</v>
      </c>
      <c r="Q153" s="3" t="s">
        <v>349</v>
      </c>
      <c r="R153" s="10">
        <v>45.77485789</v>
      </c>
      <c r="S153" s="10">
        <v>45.779053689999998</v>
      </c>
      <c r="T153" s="10">
        <v>12.680154290000001</v>
      </c>
      <c r="U153" s="10">
        <v>6.4</v>
      </c>
      <c r="V153" s="10">
        <v>8.4</v>
      </c>
      <c r="W153" s="10">
        <v>12.607536489999999</v>
      </c>
      <c r="X153">
        <v>0</v>
      </c>
      <c r="Y153" s="10">
        <f t="shared" si="4"/>
        <v>45.776955790000002</v>
      </c>
      <c r="Z153" s="10">
        <f t="shared" si="5"/>
        <v>12.643845389999999</v>
      </c>
    </row>
    <row r="154" spans="1:26" x14ac:dyDescent="0.2">
      <c r="A154" s="3" t="s">
        <v>350</v>
      </c>
      <c r="B154" s="3" t="s">
        <v>351</v>
      </c>
      <c r="C154" s="3" t="s">
        <v>2</v>
      </c>
      <c r="D154" s="3" t="s">
        <v>3</v>
      </c>
      <c r="E154" s="3" t="s">
        <v>4</v>
      </c>
      <c r="F154" s="3">
        <v>40.35</v>
      </c>
      <c r="G154" s="3">
        <v>43.386000000000003</v>
      </c>
      <c r="H154" s="3">
        <v>45358</v>
      </c>
      <c r="I154" s="3" t="s">
        <v>5</v>
      </c>
      <c r="J154" s="3" t="s">
        <v>6</v>
      </c>
      <c r="K154" s="3" t="s">
        <v>6</v>
      </c>
      <c r="L154" s="3"/>
      <c r="M154" s="3">
        <v>37242</v>
      </c>
      <c r="N154" s="3" t="s">
        <v>7</v>
      </c>
      <c r="O154" s="3" t="s">
        <v>8</v>
      </c>
      <c r="P154" s="3" t="s">
        <v>6</v>
      </c>
      <c r="Q154" s="3" t="s">
        <v>349</v>
      </c>
      <c r="R154" s="10">
        <v>45.774570990000001</v>
      </c>
      <c r="S154" s="10">
        <v>45.77485789</v>
      </c>
      <c r="T154" s="10">
        <v>12.71721969</v>
      </c>
      <c r="U154" s="10">
        <v>4.8</v>
      </c>
      <c r="V154" s="10">
        <v>6.4</v>
      </c>
      <c r="W154" s="10">
        <v>12.680154290000001</v>
      </c>
      <c r="X154">
        <v>0</v>
      </c>
      <c r="Y154" s="10">
        <f t="shared" si="4"/>
        <v>45.774714439999997</v>
      </c>
      <c r="Z154" s="10">
        <f t="shared" si="5"/>
        <v>12.698686990000001</v>
      </c>
    </row>
    <row r="155" spans="1:26" x14ac:dyDescent="0.2">
      <c r="A155" s="3" t="s">
        <v>352</v>
      </c>
      <c r="B155" s="3" t="s">
        <v>353</v>
      </c>
      <c r="C155" s="3" t="s">
        <v>11</v>
      </c>
      <c r="D155" s="3" t="s">
        <v>3</v>
      </c>
      <c r="E155" s="3" t="s">
        <v>4</v>
      </c>
      <c r="F155" s="3">
        <v>13.56</v>
      </c>
      <c r="G155" s="3">
        <v>27.367000000000001</v>
      </c>
      <c r="H155" s="3">
        <v>44951</v>
      </c>
      <c r="I155" s="3" t="s">
        <v>5</v>
      </c>
      <c r="J155" s="3" t="s">
        <v>6</v>
      </c>
      <c r="K155" s="3" t="s">
        <v>6</v>
      </c>
      <c r="L155" s="3">
        <v>40694</v>
      </c>
      <c r="M155" s="3">
        <v>40679</v>
      </c>
      <c r="N155" s="3" t="s">
        <v>7</v>
      </c>
      <c r="O155" s="3" t="s">
        <v>8</v>
      </c>
      <c r="P155" s="3" t="s">
        <v>6</v>
      </c>
      <c r="Q155" s="3" t="s">
        <v>354</v>
      </c>
      <c r="R155" s="10">
        <v>45.989936299999997</v>
      </c>
      <c r="S155" s="10">
        <v>46.094893890000002</v>
      </c>
      <c r="T155" s="10">
        <v>12.2932899</v>
      </c>
      <c r="U155" s="10">
        <v>144.6</v>
      </c>
      <c r="V155" s="10">
        <v>466.2</v>
      </c>
      <c r="W155" s="10">
        <v>12.323902289999999</v>
      </c>
      <c r="X155">
        <v>0</v>
      </c>
      <c r="Y155" s="10">
        <f t="shared" si="4"/>
        <v>46.042415094999996</v>
      </c>
      <c r="Z155" s="10">
        <f t="shared" si="5"/>
        <v>12.308596094999999</v>
      </c>
    </row>
    <row r="156" spans="1:26" x14ac:dyDescent="0.2">
      <c r="A156" s="3" t="s">
        <v>355</v>
      </c>
      <c r="B156" s="3" t="s">
        <v>356</v>
      </c>
      <c r="C156" s="3" t="s">
        <v>2</v>
      </c>
      <c r="D156" s="3" t="s">
        <v>3</v>
      </c>
      <c r="E156" s="3" t="s">
        <v>4</v>
      </c>
      <c r="F156" s="3">
        <v>10.715</v>
      </c>
      <c r="G156" s="3">
        <v>15.782</v>
      </c>
      <c r="H156" s="3">
        <v>45358</v>
      </c>
      <c r="I156" s="3" t="s">
        <v>5</v>
      </c>
      <c r="J156" s="3" t="s">
        <v>6</v>
      </c>
      <c r="K156" s="3" t="s">
        <v>6</v>
      </c>
      <c r="L156" s="3">
        <v>39796</v>
      </c>
      <c r="M156" s="3">
        <v>39946</v>
      </c>
      <c r="N156" s="3" t="s">
        <v>7</v>
      </c>
      <c r="O156" s="3" t="s">
        <v>8</v>
      </c>
      <c r="P156" s="3" t="s">
        <v>6</v>
      </c>
      <c r="Q156" s="3" t="s">
        <v>357</v>
      </c>
      <c r="R156" s="10">
        <v>45.574575590000002</v>
      </c>
      <c r="S156" s="10">
        <v>45.54558299</v>
      </c>
      <c r="T156" s="10">
        <v>12.365047690000001</v>
      </c>
      <c r="U156" s="10">
        <v>3.4</v>
      </c>
      <c r="V156" s="10">
        <v>3.3</v>
      </c>
      <c r="W156" s="10">
        <v>12.31496319</v>
      </c>
      <c r="X156">
        <v>0</v>
      </c>
      <c r="Y156" s="10">
        <f t="shared" si="4"/>
        <v>45.560079290000004</v>
      </c>
      <c r="Z156" s="10">
        <f t="shared" si="5"/>
        <v>12.340005440000001</v>
      </c>
    </row>
    <row r="157" spans="1:26" x14ac:dyDescent="0.2">
      <c r="A157" s="3" t="s">
        <v>358</v>
      </c>
      <c r="B157" s="3" t="s">
        <v>359</v>
      </c>
      <c r="C157" s="3" t="s">
        <v>2</v>
      </c>
      <c r="D157" s="3" t="s">
        <v>3</v>
      </c>
      <c r="E157" s="3" t="s">
        <v>4</v>
      </c>
      <c r="F157" s="3">
        <v>59.341999999999999</v>
      </c>
      <c r="G157" s="3">
        <v>73.289000000000001</v>
      </c>
      <c r="H157" s="3">
        <v>45461</v>
      </c>
      <c r="I157" s="3" t="s">
        <v>5</v>
      </c>
      <c r="J157" s="3" t="s">
        <v>6</v>
      </c>
      <c r="K157" s="3" t="s">
        <v>6</v>
      </c>
      <c r="L157" s="3">
        <v>40688</v>
      </c>
      <c r="M157" s="3">
        <v>39947</v>
      </c>
      <c r="N157" s="3" t="s">
        <v>7</v>
      </c>
      <c r="O157" s="3" t="s">
        <v>8</v>
      </c>
      <c r="P157" s="3" t="s">
        <v>6</v>
      </c>
      <c r="Q157" s="3" t="s">
        <v>360</v>
      </c>
      <c r="R157" s="10">
        <v>45.777718489999998</v>
      </c>
      <c r="S157" s="10">
        <v>45.78142399</v>
      </c>
      <c r="T157" s="10">
        <v>13.00110039</v>
      </c>
      <c r="U157" s="10">
        <v>8</v>
      </c>
      <c r="V157" s="10">
        <v>4.5</v>
      </c>
      <c r="W157" s="10">
        <v>12.832383699999999</v>
      </c>
      <c r="X157">
        <v>0</v>
      </c>
      <c r="Y157" s="10">
        <f t="shared" si="4"/>
        <v>45.779571239999996</v>
      </c>
      <c r="Z157" s="10">
        <f t="shared" si="5"/>
        <v>12.916742044999999</v>
      </c>
    </row>
    <row r="158" spans="1:26" x14ac:dyDescent="0.2">
      <c r="A158" s="3" t="s">
        <v>361</v>
      </c>
      <c r="B158" s="3" t="s">
        <v>362</v>
      </c>
      <c r="C158" s="3" t="s">
        <v>2</v>
      </c>
      <c r="D158" s="3" t="s">
        <v>3</v>
      </c>
      <c r="E158" s="3" t="s">
        <v>4</v>
      </c>
      <c r="F158" s="3">
        <v>0</v>
      </c>
      <c r="G158" s="3">
        <v>0.96699999999999997</v>
      </c>
      <c r="H158" s="3">
        <v>44111</v>
      </c>
      <c r="I158" s="3" t="s">
        <v>12</v>
      </c>
      <c r="J158" s="3" t="s">
        <v>6</v>
      </c>
      <c r="K158" s="3" t="s">
        <v>6</v>
      </c>
      <c r="L158" s="3">
        <v>40881</v>
      </c>
      <c r="M158" s="3">
        <v>40858</v>
      </c>
      <c r="N158" s="3" t="s">
        <v>7</v>
      </c>
      <c r="O158" s="3" t="s">
        <v>8</v>
      </c>
      <c r="P158" s="3" t="s">
        <v>6</v>
      </c>
      <c r="Q158" s="3" t="s">
        <v>6</v>
      </c>
      <c r="R158" s="10">
        <v>45.482123889999997</v>
      </c>
      <c r="S158" s="10">
        <v>45.486904099999997</v>
      </c>
      <c r="T158" s="10">
        <v>12.23207539</v>
      </c>
      <c r="U158" s="10">
        <v>3.4</v>
      </c>
      <c r="V158" s="10">
        <v>4</v>
      </c>
      <c r="W158" s="10">
        <v>12.22319469</v>
      </c>
      <c r="X158">
        <v>0</v>
      </c>
      <c r="Y158" s="10">
        <f t="shared" si="4"/>
        <v>45.484513995</v>
      </c>
      <c r="Z158" s="10">
        <f t="shared" si="5"/>
        <v>12.227635039999999</v>
      </c>
    </row>
    <row r="159" spans="1:26" x14ac:dyDescent="0.2">
      <c r="A159" s="3" t="s">
        <v>363</v>
      </c>
      <c r="B159" s="3" t="s">
        <v>364</v>
      </c>
      <c r="C159" s="3" t="s">
        <v>11</v>
      </c>
      <c r="D159" s="3" t="s">
        <v>3</v>
      </c>
      <c r="E159" s="3" t="s">
        <v>4</v>
      </c>
      <c r="F159" s="3">
        <v>18.879000000000001</v>
      </c>
      <c r="G159" s="3">
        <v>23.312000000000001</v>
      </c>
      <c r="H159" s="3">
        <v>43107</v>
      </c>
      <c r="I159" s="3" t="s">
        <v>31</v>
      </c>
      <c r="J159" s="3" t="s">
        <v>6</v>
      </c>
      <c r="K159" s="3" t="s">
        <v>6</v>
      </c>
      <c r="L159" s="3">
        <v>38596</v>
      </c>
      <c r="M159" s="3">
        <v>38775</v>
      </c>
      <c r="N159" s="3" t="s">
        <v>7</v>
      </c>
      <c r="O159" s="3" t="s">
        <v>8</v>
      </c>
      <c r="P159" s="3" t="s">
        <v>6</v>
      </c>
      <c r="Q159" s="3" t="s">
        <v>365</v>
      </c>
      <c r="R159" s="10">
        <v>45.579757989999997</v>
      </c>
      <c r="S159" s="10">
        <v>45.609430789999998</v>
      </c>
      <c r="T159" s="10">
        <v>12.03886859</v>
      </c>
      <c r="U159" s="10">
        <v>20.2</v>
      </c>
      <c r="V159" s="10">
        <v>27.1</v>
      </c>
      <c r="W159" s="10">
        <v>12.000592190000001</v>
      </c>
      <c r="X159">
        <v>0</v>
      </c>
      <c r="Y159" s="10">
        <f t="shared" si="4"/>
        <v>45.594594389999997</v>
      </c>
      <c r="Z159" s="10">
        <f t="shared" si="5"/>
        <v>12.019730389999999</v>
      </c>
    </row>
    <row r="160" spans="1:26" x14ac:dyDescent="0.2">
      <c r="A160" s="3" t="s">
        <v>366</v>
      </c>
      <c r="B160" s="3" t="s">
        <v>367</v>
      </c>
      <c r="C160" s="3" t="s">
        <v>11</v>
      </c>
      <c r="D160" s="3" t="s">
        <v>3</v>
      </c>
      <c r="E160" s="3" t="s">
        <v>4</v>
      </c>
      <c r="F160" s="3">
        <v>14.837</v>
      </c>
      <c r="G160" s="3">
        <v>18.879000000000001</v>
      </c>
      <c r="H160" s="3">
        <v>43107</v>
      </c>
      <c r="I160" s="3" t="s">
        <v>31</v>
      </c>
      <c r="J160" s="3" t="s">
        <v>6</v>
      </c>
      <c r="K160" s="3" t="s">
        <v>6</v>
      </c>
      <c r="L160" s="3">
        <v>38596</v>
      </c>
      <c r="M160" s="3">
        <v>38775</v>
      </c>
      <c r="N160" s="3" t="s">
        <v>7</v>
      </c>
      <c r="O160" s="3" t="s">
        <v>8</v>
      </c>
      <c r="P160" s="3" t="s">
        <v>6</v>
      </c>
      <c r="Q160" s="3" t="s">
        <v>365</v>
      </c>
      <c r="R160" s="10">
        <v>45.553829090000001</v>
      </c>
      <c r="S160" s="10">
        <v>45.579757989999997</v>
      </c>
      <c r="T160" s="10">
        <v>12.07489479</v>
      </c>
      <c r="U160" s="10">
        <v>14.9</v>
      </c>
      <c r="V160" s="10">
        <v>20.2</v>
      </c>
      <c r="W160" s="10">
        <v>12.03886859</v>
      </c>
      <c r="X160">
        <v>0</v>
      </c>
      <c r="Y160" s="10">
        <f t="shared" si="4"/>
        <v>45.566793539999999</v>
      </c>
      <c r="Z160" s="10">
        <f t="shared" si="5"/>
        <v>12.056881690000001</v>
      </c>
    </row>
    <row r="161" spans="1:26" x14ac:dyDescent="0.2">
      <c r="A161" s="3" t="s">
        <v>368</v>
      </c>
      <c r="B161" s="3" t="s">
        <v>369</v>
      </c>
      <c r="C161" s="3" t="s">
        <v>2</v>
      </c>
      <c r="D161" s="3" t="s">
        <v>3</v>
      </c>
      <c r="E161" s="3" t="s">
        <v>4</v>
      </c>
      <c r="F161" s="3">
        <v>5.79</v>
      </c>
      <c r="G161" s="3">
        <v>9.2729999999999997</v>
      </c>
      <c r="H161" s="3">
        <v>43107</v>
      </c>
      <c r="I161" s="3" t="s">
        <v>31</v>
      </c>
      <c r="J161" s="3" t="s">
        <v>6</v>
      </c>
      <c r="K161" s="3" t="s">
        <v>6</v>
      </c>
      <c r="L161" s="3">
        <v>40211</v>
      </c>
      <c r="M161" s="3">
        <v>40206</v>
      </c>
      <c r="N161" s="3" t="s">
        <v>7</v>
      </c>
      <c r="O161" s="3" t="s">
        <v>8</v>
      </c>
      <c r="P161" s="3" t="s">
        <v>6</v>
      </c>
      <c r="Q161" s="3" t="s">
        <v>370</v>
      </c>
      <c r="R161" s="10">
        <v>45.530291089999999</v>
      </c>
      <c r="S161" s="10">
        <v>45.561866989999999</v>
      </c>
      <c r="T161" s="10">
        <v>12.229012689999999</v>
      </c>
      <c r="U161" s="10">
        <v>5.8</v>
      </c>
      <c r="V161" s="10">
        <v>11.5</v>
      </c>
      <c r="W161" s="10">
        <v>12.232760089999999</v>
      </c>
      <c r="X161">
        <v>0</v>
      </c>
      <c r="Y161" s="10">
        <f t="shared" si="4"/>
        <v>45.546079039999995</v>
      </c>
      <c r="Z161" s="10">
        <f t="shared" si="5"/>
        <v>12.230886389999998</v>
      </c>
    </row>
    <row r="162" spans="1:26" x14ac:dyDescent="0.2">
      <c r="A162" s="3" t="s">
        <v>371</v>
      </c>
      <c r="B162" s="3" t="s">
        <v>372</v>
      </c>
      <c r="C162" s="3" t="s">
        <v>2</v>
      </c>
      <c r="D162" s="3" t="s">
        <v>3</v>
      </c>
      <c r="E162" s="3" t="s">
        <v>4</v>
      </c>
      <c r="F162" s="3">
        <v>3.9390000000000001</v>
      </c>
      <c r="G162" s="3">
        <v>5.79</v>
      </c>
      <c r="H162" s="3">
        <v>44802</v>
      </c>
      <c r="I162" s="3" t="s">
        <v>5</v>
      </c>
      <c r="J162" s="3" t="s">
        <v>6</v>
      </c>
      <c r="K162" s="3" t="s">
        <v>6</v>
      </c>
      <c r="L162" s="3">
        <v>40211</v>
      </c>
      <c r="M162" s="3">
        <v>40206</v>
      </c>
      <c r="N162" s="3" t="s">
        <v>7</v>
      </c>
      <c r="O162" s="3" t="s">
        <v>8</v>
      </c>
      <c r="P162" s="3" t="s">
        <v>6</v>
      </c>
      <c r="Q162" s="3" t="s">
        <v>370</v>
      </c>
      <c r="R162" s="10">
        <v>45.512920700000002</v>
      </c>
      <c r="S162" s="10">
        <v>45.530291089999999</v>
      </c>
      <c r="T162" s="10">
        <v>12.225656989999999</v>
      </c>
      <c r="U162" s="10">
        <v>7.8</v>
      </c>
      <c r="V162" s="10">
        <v>5.8</v>
      </c>
      <c r="W162" s="10">
        <v>12.229012689999999</v>
      </c>
      <c r="X162">
        <v>0</v>
      </c>
      <c r="Y162" s="10">
        <f t="shared" si="4"/>
        <v>45.521605895</v>
      </c>
      <c r="Z162" s="10">
        <f t="shared" si="5"/>
        <v>12.227334839999999</v>
      </c>
    </row>
    <row r="163" spans="1:26" x14ac:dyDescent="0.2">
      <c r="A163" s="3" t="s">
        <v>373</v>
      </c>
      <c r="B163" s="3" t="s">
        <v>374</v>
      </c>
      <c r="C163" s="3" t="s">
        <v>2</v>
      </c>
      <c r="D163" s="3" t="s">
        <v>3</v>
      </c>
      <c r="E163" s="3" t="s">
        <v>4</v>
      </c>
      <c r="F163" s="3">
        <v>0</v>
      </c>
      <c r="G163" s="3">
        <v>6.7350000000000003</v>
      </c>
      <c r="H163" s="3">
        <v>43107</v>
      </c>
      <c r="I163" s="3" t="s">
        <v>31</v>
      </c>
      <c r="J163" s="3" t="s">
        <v>6</v>
      </c>
      <c r="K163" s="3" t="s">
        <v>6</v>
      </c>
      <c r="L163" s="3">
        <v>40237</v>
      </c>
      <c r="M163" s="3">
        <v>40227</v>
      </c>
      <c r="N163" s="3" t="s">
        <v>7</v>
      </c>
      <c r="O163" s="3" t="s">
        <v>8</v>
      </c>
      <c r="P163" s="3" t="s">
        <v>6</v>
      </c>
      <c r="Q163" s="3" t="s">
        <v>6</v>
      </c>
      <c r="R163" s="10">
        <v>45.490245790000003</v>
      </c>
      <c r="S163" s="10">
        <v>45.530291089999999</v>
      </c>
      <c r="T163" s="10">
        <v>12.176267490000001</v>
      </c>
      <c r="U163" s="10">
        <v>8.8000000000000007</v>
      </c>
      <c r="V163" s="10">
        <v>5.8</v>
      </c>
      <c r="W163" s="10">
        <v>12.229012689999999</v>
      </c>
      <c r="X163">
        <v>0</v>
      </c>
      <c r="Y163" s="10">
        <f t="shared" si="4"/>
        <v>45.510268440000004</v>
      </c>
      <c r="Z163" s="10">
        <f t="shared" si="5"/>
        <v>12.202640089999999</v>
      </c>
    </row>
    <row r="164" spans="1:26" x14ac:dyDescent="0.2">
      <c r="A164" s="3" t="s">
        <v>376</v>
      </c>
      <c r="B164" s="3" t="s">
        <v>377</v>
      </c>
      <c r="C164" s="3" t="s">
        <v>2</v>
      </c>
      <c r="D164" s="3" t="s">
        <v>3</v>
      </c>
      <c r="E164" s="3" t="s">
        <v>4</v>
      </c>
      <c r="F164" s="3">
        <v>1.292</v>
      </c>
      <c r="G164" s="3">
        <v>3.9390000000000001</v>
      </c>
      <c r="H164" s="3">
        <v>45642</v>
      </c>
      <c r="I164" s="3" t="s">
        <v>24</v>
      </c>
      <c r="J164" s="3" t="s">
        <v>6</v>
      </c>
      <c r="K164" s="3" t="s">
        <v>6</v>
      </c>
      <c r="L164" s="3"/>
      <c r="M164" s="3">
        <v>39632</v>
      </c>
      <c r="N164" s="3" t="s">
        <v>7</v>
      </c>
      <c r="O164" s="3" t="s">
        <v>8</v>
      </c>
      <c r="P164" s="3" t="s">
        <v>6</v>
      </c>
      <c r="Q164" s="3" t="s">
        <v>375</v>
      </c>
      <c r="R164" s="10">
        <v>45.486904099999997</v>
      </c>
      <c r="S164" s="10">
        <v>45.512920700000002</v>
      </c>
      <c r="T164" s="10">
        <v>12.22319469</v>
      </c>
      <c r="U164" s="10">
        <v>4</v>
      </c>
      <c r="V164" s="10">
        <v>7.8</v>
      </c>
      <c r="W164" s="10">
        <v>12.225656989999999</v>
      </c>
      <c r="X164">
        <v>0</v>
      </c>
      <c r="Y164" s="10">
        <f t="shared" si="4"/>
        <v>45.499912399999999</v>
      </c>
      <c r="Z164" s="10">
        <f t="shared" si="5"/>
        <v>12.224425839999999</v>
      </c>
    </row>
    <row r="165" spans="1:26" x14ac:dyDescent="0.2">
      <c r="A165" s="3" t="s">
        <v>378</v>
      </c>
      <c r="B165" s="3" t="s">
        <v>379</v>
      </c>
      <c r="C165" s="3" t="s">
        <v>11</v>
      </c>
      <c r="D165" s="3" t="s">
        <v>3</v>
      </c>
      <c r="E165" s="3" t="s">
        <v>4</v>
      </c>
      <c r="F165" s="3">
        <v>73.747</v>
      </c>
      <c r="G165" s="3">
        <v>80.001999999999995</v>
      </c>
      <c r="H165" s="3">
        <v>45257</v>
      </c>
      <c r="I165" s="3" t="s">
        <v>24</v>
      </c>
      <c r="J165" s="3" t="s">
        <v>6</v>
      </c>
      <c r="K165" s="3" t="s">
        <v>6</v>
      </c>
      <c r="L165" s="3"/>
      <c r="M165" s="3">
        <v>36514</v>
      </c>
      <c r="N165" s="3" t="s">
        <v>7</v>
      </c>
      <c r="O165" s="3" t="s">
        <v>8</v>
      </c>
      <c r="P165" s="3" t="s">
        <v>6</v>
      </c>
      <c r="Q165" s="3" t="s">
        <v>6</v>
      </c>
      <c r="R165" s="10">
        <v>45.919648590000001</v>
      </c>
      <c r="S165" s="10">
        <v>45.965308190000002</v>
      </c>
      <c r="T165" s="10">
        <v>11.72929399</v>
      </c>
      <c r="U165" s="10">
        <v>196.1</v>
      </c>
      <c r="V165" s="10">
        <v>218.8</v>
      </c>
      <c r="W165" s="10">
        <v>11.70091229</v>
      </c>
      <c r="X165">
        <v>0</v>
      </c>
      <c r="Y165" s="10">
        <f t="shared" si="4"/>
        <v>45.942478390000005</v>
      </c>
      <c r="Z165" s="10">
        <f t="shared" si="5"/>
        <v>11.71510314</v>
      </c>
    </row>
    <row r="166" spans="1:26" x14ac:dyDescent="0.2">
      <c r="A166" s="3" t="s">
        <v>380</v>
      </c>
      <c r="B166" s="3" t="s">
        <v>381</v>
      </c>
      <c r="C166" s="3" t="s">
        <v>11</v>
      </c>
      <c r="D166" s="3" t="s">
        <v>3</v>
      </c>
      <c r="E166" s="3" t="s">
        <v>4</v>
      </c>
      <c r="F166" s="3">
        <v>69.509</v>
      </c>
      <c r="G166" s="3">
        <v>73.747</v>
      </c>
      <c r="H166" s="3">
        <v>45257</v>
      </c>
      <c r="I166" s="3" t="s">
        <v>24</v>
      </c>
      <c r="J166" s="3" t="s">
        <v>6</v>
      </c>
      <c r="K166" s="3" t="s">
        <v>6</v>
      </c>
      <c r="L166" s="3"/>
      <c r="M166" s="3">
        <v>36514</v>
      </c>
      <c r="N166" s="3" t="s">
        <v>7</v>
      </c>
      <c r="O166" s="3" t="s">
        <v>8</v>
      </c>
      <c r="P166" s="3" t="s">
        <v>6</v>
      </c>
      <c r="Q166" s="3" t="s">
        <v>6</v>
      </c>
      <c r="R166" s="10">
        <v>45.897686399999998</v>
      </c>
      <c r="S166" s="10">
        <v>45.919648590000001</v>
      </c>
      <c r="T166" s="10">
        <v>11.69226119</v>
      </c>
      <c r="U166" s="10">
        <v>182.1</v>
      </c>
      <c r="V166" s="10">
        <v>196.1</v>
      </c>
      <c r="W166" s="10">
        <v>11.72929399</v>
      </c>
      <c r="X166">
        <v>0</v>
      </c>
      <c r="Y166" s="10">
        <f t="shared" si="4"/>
        <v>45.908667495000003</v>
      </c>
      <c r="Z166" s="10">
        <f t="shared" si="5"/>
        <v>11.710777589999999</v>
      </c>
    </row>
    <row r="167" spans="1:26" x14ac:dyDescent="0.2">
      <c r="A167" s="3" t="s">
        <v>382</v>
      </c>
      <c r="B167" s="3" t="s">
        <v>383</v>
      </c>
      <c r="C167" s="3" t="s">
        <v>11</v>
      </c>
      <c r="D167" s="3" t="s">
        <v>3</v>
      </c>
      <c r="E167" s="3" t="s">
        <v>4</v>
      </c>
      <c r="F167" s="3">
        <v>64.489000000000004</v>
      </c>
      <c r="G167" s="3">
        <v>69.509</v>
      </c>
      <c r="H167" s="3">
        <v>45257</v>
      </c>
      <c r="I167" s="3" t="s">
        <v>24</v>
      </c>
      <c r="J167" s="3" t="s">
        <v>6</v>
      </c>
      <c r="K167" s="3" t="s">
        <v>6</v>
      </c>
      <c r="L167" s="3"/>
      <c r="M167" s="3">
        <v>36514</v>
      </c>
      <c r="N167" s="3" t="s">
        <v>7</v>
      </c>
      <c r="O167" s="3" t="s">
        <v>8</v>
      </c>
      <c r="P167" s="3" t="s">
        <v>6</v>
      </c>
      <c r="Q167" s="3" t="s">
        <v>6</v>
      </c>
      <c r="R167" s="10">
        <v>45.860114789999997</v>
      </c>
      <c r="S167" s="10">
        <v>45.897686399999998</v>
      </c>
      <c r="T167" s="10">
        <v>11.66119679</v>
      </c>
      <c r="U167" s="10">
        <v>156.19999999999999</v>
      </c>
      <c r="V167" s="10">
        <v>182.1</v>
      </c>
      <c r="W167" s="10">
        <v>11.69226119</v>
      </c>
      <c r="X167">
        <v>0</v>
      </c>
      <c r="Y167" s="10">
        <f t="shared" si="4"/>
        <v>45.878900594999998</v>
      </c>
      <c r="Z167" s="10">
        <f t="shared" si="5"/>
        <v>11.676728990000001</v>
      </c>
    </row>
    <row r="168" spans="1:26" x14ac:dyDescent="0.2">
      <c r="A168" s="3" t="s">
        <v>384</v>
      </c>
      <c r="B168" s="3" t="s">
        <v>385</v>
      </c>
      <c r="C168" s="3" t="s">
        <v>11</v>
      </c>
      <c r="D168" s="3" t="s">
        <v>3</v>
      </c>
      <c r="E168" s="3" t="s">
        <v>4</v>
      </c>
      <c r="F168" s="3">
        <v>60.991999999999997</v>
      </c>
      <c r="G168" s="3">
        <v>64.489000000000004</v>
      </c>
      <c r="H168" s="3">
        <v>45257</v>
      </c>
      <c r="I168" s="3" t="s">
        <v>24</v>
      </c>
      <c r="J168" s="3" t="s">
        <v>6</v>
      </c>
      <c r="K168" s="3" t="s">
        <v>6</v>
      </c>
      <c r="L168" s="3"/>
      <c r="M168" s="3">
        <v>36514</v>
      </c>
      <c r="N168" s="3" t="s">
        <v>7</v>
      </c>
      <c r="O168" s="3" t="s">
        <v>8</v>
      </c>
      <c r="P168" s="3" t="s">
        <v>6</v>
      </c>
      <c r="Q168" s="3" t="s">
        <v>6</v>
      </c>
      <c r="R168" s="10">
        <v>45.838108689999999</v>
      </c>
      <c r="S168" s="10">
        <v>45.860114789999997</v>
      </c>
      <c r="T168" s="10">
        <v>11.69133779</v>
      </c>
      <c r="U168" s="10">
        <v>140.5</v>
      </c>
      <c r="V168" s="10">
        <v>156.19999999999999</v>
      </c>
      <c r="W168" s="10">
        <v>11.66119679</v>
      </c>
      <c r="X168">
        <v>0</v>
      </c>
      <c r="Y168" s="10">
        <f t="shared" si="4"/>
        <v>45.849111739999998</v>
      </c>
      <c r="Z168" s="10">
        <f t="shared" si="5"/>
        <v>11.67626729</v>
      </c>
    </row>
    <row r="169" spans="1:26" x14ac:dyDescent="0.2">
      <c r="A169" s="3" t="s">
        <v>386</v>
      </c>
      <c r="B169" s="3" t="s">
        <v>387</v>
      </c>
      <c r="C169" s="3" t="s">
        <v>11</v>
      </c>
      <c r="D169" s="3" t="s">
        <v>3</v>
      </c>
      <c r="E169" s="3" t="s">
        <v>4</v>
      </c>
      <c r="F169" s="3">
        <v>57.493000000000002</v>
      </c>
      <c r="G169" s="3">
        <v>60.991999999999997</v>
      </c>
      <c r="H169" s="3">
        <v>45257</v>
      </c>
      <c r="I169" s="3" t="s">
        <v>24</v>
      </c>
      <c r="J169" s="3" t="s">
        <v>6</v>
      </c>
      <c r="K169" s="3" t="s">
        <v>6</v>
      </c>
      <c r="L169" s="3"/>
      <c r="M169" s="3">
        <v>36514</v>
      </c>
      <c r="N169" s="3" t="s">
        <v>7</v>
      </c>
      <c r="O169" s="3" t="s">
        <v>8</v>
      </c>
      <c r="P169" s="3" t="s">
        <v>6</v>
      </c>
      <c r="Q169" s="3" t="s">
        <v>6</v>
      </c>
      <c r="R169" s="10">
        <v>45.815428390000001</v>
      </c>
      <c r="S169" s="10">
        <v>45.838108689999999</v>
      </c>
      <c r="T169" s="10">
        <v>11.72135349</v>
      </c>
      <c r="U169" s="10">
        <v>135.9</v>
      </c>
      <c r="V169" s="10">
        <v>140.5</v>
      </c>
      <c r="W169" s="10">
        <v>11.69133779</v>
      </c>
      <c r="X169">
        <v>0</v>
      </c>
      <c r="Y169" s="10">
        <f t="shared" si="4"/>
        <v>45.826768540000003</v>
      </c>
      <c r="Z169" s="10">
        <f t="shared" si="5"/>
        <v>11.70634564</v>
      </c>
    </row>
    <row r="170" spans="1:26" x14ac:dyDescent="0.2">
      <c r="A170" s="3" t="s">
        <v>388</v>
      </c>
      <c r="B170" s="3" t="s">
        <v>389</v>
      </c>
      <c r="C170" s="3" t="s">
        <v>2</v>
      </c>
      <c r="D170" s="3" t="s">
        <v>3</v>
      </c>
      <c r="E170" s="3" t="s">
        <v>4</v>
      </c>
      <c r="F170" s="3">
        <v>257.90699999999998</v>
      </c>
      <c r="G170" s="3">
        <v>260.19099999999997</v>
      </c>
      <c r="H170" s="3">
        <v>44615</v>
      </c>
      <c r="I170" s="3" t="s">
        <v>24</v>
      </c>
      <c r="J170" s="3" t="s">
        <v>6</v>
      </c>
      <c r="K170" s="3" t="s">
        <v>6</v>
      </c>
      <c r="L170" s="3"/>
      <c r="M170" s="3">
        <v>36514</v>
      </c>
      <c r="N170" s="3" t="s">
        <v>7</v>
      </c>
      <c r="O170" s="3" t="s">
        <v>8</v>
      </c>
      <c r="P170" s="3" t="s">
        <v>6</v>
      </c>
      <c r="Q170" s="3" t="s">
        <v>6</v>
      </c>
      <c r="R170" s="10">
        <v>45.472380790000003</v>
      </c>
      <c r="S170" s="10">
        <v>45.482123889999997</v>
      </c>
      <c r="T170" s="10">
        <v>12.256530789999999</v>
      </c>
      <c r="U170" s="10">
        <v>3.7</v>
      </c>
      <c r="V170" s="10">
        <v>3.4</v>
      </c>
      <c r="W170" s="10">
        <v>12.23207539</v>
      </c>
      <c r="X170">
        <v>0</v>
      </c>
      <c r="Y170" s="11">
        <v>45.450861000000003</v>
      </c>
      <c r="Z170" s="11">
        <v>12.304136</v>
      </c>
    </row>
    <row r="171" spans="1:26" x14ac:dyDescent="0.2">
      <c r="A171" s="3" t="s">
        <v>390</v>
      </c>
      <c r="B171" s="3" t="s">
        <v>391</v>
      </c>
      <c r="C171" s="3" t="s">
        <v>2</v>
      </c>
      <c r="D171" s="3" t="s">
        <v>3</v>
      </c>
      <c r="E171" s="3" t="s">
        <v>4</v>
      </c>
      <c r="F171" s="3">
        <v>0.96699999999999997</v>
      </c>
      <c r="G171" s="3">
        <v>3.903</v>
      </c>
      <c r="H171" s="3">
        <v>43107</v>
      </c>
      <c r="I171" s="3" t="s">
        <v>31</v>
      </c>
      <c r="J171" s="3" t="s">
        <v>6</v>
      </c>
      <c r="K171" s="3" t="s">
        <v>6</v>
      </c>
      <c r="L171" s="3"/>
      <c r="M171" s="3">
        <v>36514</v>
      </c>
      <c r="N171" s="3" t="s">
        <v>7</v>
      </c>
      <c r="O171" s="3" t="s">
        <v>8</v>
      </c>
      <c r="P171" s="3" t="s">
        <v>6</v>
      </c>
      <c r="Q171" s="3" t="s">
        <v>6</v>
      </c>
      <c r="R171" s="10">
        <v>45.506697090000003</v>
      </c>
      <c r="S171" s="10">
        <v>45.486904099999997</v>
      </c>
      <c r="T171" s="10">
        <v>12.24760689</v>
      </c>
      <c r="U171" s="10">
        <v>3.8</v>
      </c>
      <c r="V171" s="10">
        <v>4</v>
      </c>
      <c r="W171" s="10">
        <v>12.22319469</v>
      </c>
      <c r="X171">
        <v>0</v>
      </c>
      <c r="Y171" s="10">
        <f t="shared" si="4"/>
        <v>45.496800594999996</v>
      </c>
      <c r="Z171" s="10">
        <f t="shared" si="5"/>
        <v>12.23540079</v>
      </c>
    </row>
    <row r="172" spans="1:26" x14ac:dyDescent="0.2">
      <c r="A172" s="3" t="s">
        <v>392</v>
      </c>
      <c r="B172" s="3" t="s">
        <v>393</v>
      </c>
      <c r="C172" s="3" t="s">
        <v>2</v>
      </c>
      <c r="D172" s="3" t="s">
        <v>3</v>
      </c>
      <c r="E172" s="3" t="s">
        <v>4</v>
      </c>
      <c r="F172" s="3">
        <v>15.782</v>
      </c>
      <c r="G172" s="3">
        <v>23.957000000000001</v>
      </c>
      <c r="H172" s="3">
        <v>43107</v>
      </c>
      <c r="I172" s="3" t="s">
        <v>31</v>
      </c>
      <c r="J172" s="3" t="s">
        <v>6</v>
      </c>
      <c r="K172" s="3" t="s">
        <v>6</v>
      </c>
      <c r="L172" s="3"/>
      <c r="M172" s="3">
        <v>36514</v>
      </c>
      <c r="N172" s="3" t="s">
        <v>7</v>
      </c>
      <c r="O172" s="3" t="s">
        <v>8</v>
      </c>
      <c r="P172" s="3" t="s">
        <v>6</v>
      </c>
      <c r="Q172" s="3" t="s">
        <v>6</v>
      </c>
      <c r="R172" s="10">
        <v>45.613179690000003</v>
      </c>
      <c r="S172" s="10">
        <v>45.574575590000002</v>
      </c>
      <c r="T172" s="10">
        <v>12.45398569</v>
      </c>
      <c r="U172" s="10">
        <v>3.5</v>
      </c>
      <c r="V172" s="10">
        <v>3.4</v>
      </c>
      <c r="W172" s="10">
        <v>12.365047690000001</v>
      </c>
      <c r="X172">
        <v>0</v>
      </c>
      <c r="Y172" s="10">
        <f t="shared" si="4"/>
        <v>45.593877640000002</v>
      </c>
      <c r="Z172" s="10">
        <f t="shared" si="5"/>
        <v>12.40951669</v>
      </c>
    </row>
    <row r="173" spans="1:26" x14ac:dyDescent="0.2">
      <c r="A173" s="3" t="s">
        <v>394</v>
      </c>
      <c r="B173" s="3" t="s">
        <v>395</v>
      </c>
      <c r="C173" s="3" t="s">
        <v>2</v>
      </c>
      <c r="D173" s="3" t="s">
        <v>3</v>
      </c>
      <c r="E173" s="3" t="s">
        <v>4</v>
      </c>
      <c r="F173" s="3">
        <v>23.957000000000001</v>
      </c>
      <c r="G173" s="3">
        <v>27.79</v>
      </c>
      <c r="H173" s="3">
        <v>43107</v>
      </c>
      <c r="I173" s="3" t="s">
        <v>31</v>
      </c>
      <c r="J173" s="3" t="s">
        <v>6</v>
      </c>
      <c r="K173" s="3" t="s">
        <v>6</v>
      </c>
      <c r="L173" s="3"/>
      <c r="M173" s="3">
        <v>36514</v>
      </c>
      <c r="N173" s="3" t="s">
        <v>7</v>
      </c>
      <c r="O173" s="3" t="s">
        <v>8</v>
      </c>
      <c r="P173" s="3" t="s">
        <v>6</v>
      </c>
      <c r="Q173" s="3" t="s">
        <v>6</v>
      </c>
      <c r="R173" s="10">
        <v>45.624204589999998</v>
      </c>
      <c r="S173" s="10">
        <v>45.613179690000003</v>
      </c>
      <c r="T173" s="10">
        <v>12.50040379</v>
      </c>
      <c r="U173" s="10">
        <v>2.9</v>
      </c>
      <c r="V173" s="10">
        <v>3.5</v>
      </c>
      <c r="W173" s="10">
        <v>12.45398569</v>
      </c>
      <c r="X173">
        <v>0</v>
      </c>
      <c r="Y173" s="10">
        <f t="shared" si="4"/>
        <v>45.61869214</v>
      </c>
      <c r="Z173" s="10">
        <f t="shared" si="5"/>
        <v>12.47719474</v>
      </c>
    </row>
    <row r="174" spans="1:26" x14ac:dyDescent="0.2">
      <c r="A174" s="3" t="s">
        <v>396</v>
      </c>
      <c r="B174" s="3" t="s">
        <v>397</v>
      </c>
      <c r="C174" s="3" t="s">
        <v>2</v>
      </c>
      <c r="D174" s="3" t="s">
        <v>3</v>
      </c>
      <c r="E174" s="3" t="s">
        <v>4</v>
      </c>
      <c r="F174" s="3">
        <v>27.79</v>
      </c>
      <c r="G174" s="3">
        <v>32.786000000000001</v>
      </c>
      <c r="H174" s="3">
        <v>43107</v>
      </c>
      <c r="I174" s="3" t="s">
        <v>31</v>
      </c>
      <c r="J174" s="3" t="s">
        <v>6</v>
      </c>
      <c r="K174" s="3" t="s">
        <v>6</v>
      </c>
      <c r="L174" s="3"/>
      <c r="M174" s="3">
        <v>36514</v>
      </c>
      <c r="N174" s="3" t="s">
        <v>7</v>
      </c>
      <c r="O174" s="3" t="s">
        <v>8</v>
      </c>
      <c r="P174" s="3" t="s">
        <v>6</v>
      </c>
      <c r="Q174" s="3" t="s">
        <v>6</v>
      </c>
      <c r="R174" s="10">
        <v>45.639823589999999</v>
      </c>
      <c r="S174" s="10">
        <v>45.624204589999998</v>
      </c>
      <c r="T174" s="10">
        <v>12.55979889</v>
      </c>
      <c r="U174" s="10">
        <v>2.8</v>
      </c>
      <c r="V174" s="10">
        <v>2.9</v>
      </c>
      <c r="W174" s="10">
        <v>12.50040379</v>
      </c>
      <c r="X174">
        <v>0</v>
      </c>
      <c r="Y174" s="10">
        <f t="shared" si="4"/>
        <v>45.632014089999998</v>
      </c>
      <c r="Z174" s="10">
        <f t="shared" si="5"/>
        <v>12.53010134</v>
      </c>
    </row>
    <row r="175" spans="1:26" x14ac:dyDescent="0.2">
      <c r="A175" s="3" t="s">
        <v>398</v>
      </c>
      <c r="B175" s="3" t="s">
        <v>399</v>
      </c>
      <c r="C175" s="3" t="s">
        <v>2</v>
      </c>
      <c r="D175" s="3" t="s">
        <v>3</v>
      </c>
      <c r="E175" s="3" t="s">
        <v>4</v>
      </c>
      <c r="F175" s="3">
        <v>32.786000000000001</v>
      </c>
      <c r="G175" s="3">
        <v>40.686</v>
      </c>
      <c r="H175" s="3">
        <v>45358</v>
      </c>
      <c r="I175" s="3" t="s">
        <v>5</v>
      </c>
      <c r="J175" s="3" t="s">
        <v>6</v>
      </c>
      <c r="K175" s="3" t="s">
        <v>6</v>
      </c>
      <c r="L175" s="3"/>
      <c r="M175" s="3">
        <v>36514</v>
      </c>
      <c r="N175" s="3" t="s">
        <v>7</v>
      </c>
      <c r="O175" s="3" t="s">
        <v>8</v>
      </c>
      <c r="P175" s="3" t="s">
        <v>6</v>
      </c>
      <c r="Q175" s="3" t="s">
        <v>6</v>
      </c>
      <c r="R175" s="10">
        <v>45.688387489999997</v>
      </c>
      <c r="S175" s="10">
        <v>45.639823589999999</v>
      </c>
      <c r="T175" s="10">
        <v>12.633995690000001</v>
      </c>
      <c r="U175" s="10">
        <v>3.1</v>
      </c>
      <c r="V175" s="10">
        <v>2.8</v>
      </c>
      <c r="W175" s="10">
        <v>12.55979889</v>
      </c>
      <c r="X175">
        <v>0</v>
      </c>
      <c r="Y175" s="10">
        <f t="shared" si="4"/>
        <v>45.664105539999994</v>
      </c>
      <c r="Z175" s="10">
        <f t="shared" si="5"/>
        <v>12.596897290000001</v>
      </c>
    </row>
    <row r="176" spans="1:26" x14ac:dyDescent="0.2">
      <c r="A176" s="3" t="s">
        <v>400</v>
      </c>
      <c r="B176" s="3" t="s">
        <v>401</v>
      </c>
      <c r="C176" s="3" t="s">
        <v>2</v>
      </c>
      <c r="D176" s="3" t="s">
        <v>3</v>
      </c>
      <c r="E176" s="3" t="s">
        <v>4</v>
      </c>
      <c r="F176" s="3">
        <v>40.686</v>
      </c>
      <c r="G176" s="3">
        <v>45.954999999999998</v>
      </c>
      <c r="H176" s="3">
        <v>43107</v>
      </c>
      <c r="I176" s="3" t="s">
        <v>31</v>
      </c>
      <c r="J176" s="3" t="s">
        <v>6</v>
      </c>
      <c r="K176" s="3" t="s">
        <v>6</v>
      </c>
      <c r="L176" s="3"/>
      <c r="M176" s="3">
        <v>36514</v>
      </c>
      <c r="N176" s="3" t="s">
        <v>7</v>
      </c>
      <c r="O176" s="3" t="s">
        <v>8</v>
      </c>
      <c r="P176" s="3" t="s">
        <v>6</v>
      </c>
      <c r="Q176" s="3" t="s">
        <v>6</v>
      </c>
      <c r="R176" s="10">
        <v>45.72108119</v>
      </c>
      <c r="S176" s="10">
        <v>45.688387489999997</v>
      </c>
      <c r="T176" s="10">
        <v>12.68278499</v>
      </c>
      <c r="U176" s="10">
        <v>3.7</v>
      </c>
      <c r="V176" s="10">
        <v>3.1</v>
      </c>
      <c r="W176" s="10">
        <v>12.633995690000001</v>
      </c>
      <c r="X176">
        <v>0</v>
      </c>
      <c r="Y176" s="10">
        <f t="shared" si="4"/>
        <v>45.704734340000002</v>
      </c>
      <c r="Z176" s="10">
        <f t="shared" si="5"/>
        <v>12.65839034</v>
      </c>
    </row>
    <row r="177" spans="1:26" x14ac:dyDescent="0.2">
      <c r="A177" s="3" t="s">
        <v>402</v>
      </c>
      <c r="B177" s="3" t="s">
        <v>403</v>
      </c>
      <c r="C177" s="3" t="s">
        <v>2</v>
      </c>
      <c r="D177" s="3" t="s">
        <v>3</v>
      </c>
      <c r="E177" s="3" t="s">
        <v>4</v>
      </c>
      <c r="F177" s="3">
        <v>45.954999999999998</v>
      </c>
      <c r="G177" s="3">
        <v>52.83</v>
      </c>
      <c r="H177" s="3">
        <v>43107</v>
      </c>
      <c r="I177" s="3" t="s">
        <v>31</v>
      </c>
      <c r="J177" s="3" t="s">
        <v>6</v>
      </c>
      <c r="K177" s="3" t="s">
        <v>6</v>
      </c>
      <c r="L177" s="3"/>
      <c r="M177" s="3">
        <v>36514</v>
      </c>
      <c r="N177" s="3" t="s">
        <v>7</v>
      </c>
      <c r="O177" s="3" t="s">
        <v>8</v>
      </c>
      <c r="P177" s="3" t="s">
        <v>6</v>
      </c>
      <c r="Q177" s="3" t="s">
        <v>6</v>
      </c>
      <c r="R177" s="10">
        <v>45.751935090000003</v>
      </c>
      <c r="S177" s="10">
        <v>45.72108119</v>
      </c>
      <c r="T177" s="10">
        <v>12.759426189999999</v>
      </c>
      <c r="U177" s="10">
        <v>2.9</v>
      </c>
      <c r="V177" s="10">
        <v>3.7</v>
      </c>
      <c r="W177" s="10">
        <v>12.68278499</v>
      </c>
      <c r="X177">
        <v>0</v>
      </c>
      <c r="Y177" s="10">
        <f t="shared" si="4"/>
        <v>45.736508139999998</v>
      </c>
      <c r="Z177" s="10">
        <f t="shared" si="5"/>
        <v>12.721105590000001</v>
      </c>
    </row>
    <row r="178" spans="1:26" x14ac:dyDescent="0.2">
      <c r="A178" s="3" t="s">
        <v>404</v>
      </c>
      <c r="B178" s="3" t="s">
        <v>405</v>
      </c>
      <c r="C178" s="3" t="s">
        <v>2</v>
      </c>
      <c r="D178" s="3" t="s">
        <v>3</v>
      </c>
      <c r="E178" s="3" t="s">
        <v>4</v>
      </c>
      <c r="F178" s="3">
        <v>52.83</v>
      </c>
      <c r="G178" s="3">
        <v>59.341999999999999</v>
      </c>
      <c r="H178" s="3">
        <v>43107</v>
      </c>
      <c r="I178" s="3" t="s">
        <v>31</v>
      </c>
      <c r="J178" s="3" t="s">
        <v>6</v>
      </c>
      <c r="K178" s="3" t="s">
        <v>6</v>
      </c>
      <c r="L178" s="3"/>
      <c r="M178" s="3">
        <v>36514</v>
      </c>
      <c r="N178" s="3" t="s">
        <v>7</v>
      </c>
      <c r="O178" s="3" t="s">
        <v>8</v>
      </c>
      <c r="P178" s="3" t="s">
        <v>6</v>
      </c>
      <c r="Q178" s="3" t="s">
        <v>6</v>
      </c>
      <c r="R178" s="10">
        <v>45.78142399</v>
      </c>
      <c r="S178" s="10">
        <v>45.751935090000003</v>
      </c>
      <c r="T178" s="10">
        <v>12.832383699999999</v>
      </c>
      <c r="U178" s="10">
        <v>4.5</v>
      </c>
      <c r="V178" s="10">
        <v>2.9</v>
      </c>
      <c r="W178" s="10">
        <v>12.759426189999999</v>
      </c>
      <c r="X178">
        <v>0</v>
      </c>
      <c r="Y178" s="10">
        <f t="shared" si="4"/>
        <v>45.766679539999998</v>
      </c>
      <c r="Z178" s="10">
        <f t="shared" si="5"/>
        <v>12.795904945</v>
      </c>
    </row>
    <row r="179" spans="1:26" x14ac:dyDescent="0.2">
      <c r="A179" s="3" t="s">
        <v>406</v>
      </c>
      <c r="B179" s="3" t="s">
        <v>407</v>
      </c>
      <c r="C179" s="3" t="s">
        <v>2</v>
      </c>
      <c r="D179" s="3" t="s">
        <v>3</v>
      </c>
      <c r="E179" s="3" t="s">
        <v>4</v>
      </c>
      <c r="F179" s="3">
        <v>257.90699999999998</v>
      </c>
      <c r="G179" s="3">
        <v>260.19099999999997</v>
      </c>
      <c r="H179" s="3">
        <v>44615</v>
      </c>
      <c r="I179" s="3" t="s">
        <v>24</v>
      </c>
      <c r="J179" s="3" t="s">
        <v>6</v>
      </c>
      <c r="K179" s="3" t="s">
        <v>6</v>
      </c>
      <c r="L179" s="3"/>
      <c r="M179" s="3">
        <v>36514</v>
      </c>
      <c r="N179" s="3" t="s">
        <v>7</v>
      </c>
      <c r="O179" s="3" t="s">
        <v>8</v>
      </c>
      <c r="P179" s="3" t="s">
        <v>6</v>
      </c>
      <c r="Q179" s="3" t="s">
        <v>6</v>
      </c>
      <c r="R179" s="10">
        <v>45.472380790000003</v>
      </c>
      <c r="S179" s="10">
        <v>45.482123889999997</v>
      </c>
      <c r="T179" s="10">
        <v>12.256530789999999</v>
      </c>
      <c r="U179" s="10">
        <v>3.7</v>
      </c>
      <c r="V179" s="10">
        <v>3.4</v>
      </c>
      <c r="W179" s="10">
        <v>12.23207539</v>
      </c>
      <c r="X179">
        <v>0</v>
      </c>
      <c r="Y179" s="11">
        <v>45.462812999999997</v>
      </c>
      <c r="Z179" s="11">
        <v>12.283125</v>
      </c>
    </row>
    <row r="180" spans="1:26" x14ac:dyDescent="0.2">
      <c r="A180" s="3" t="s">
        <v>408</v>
      </c>
      <c r="B180" s="3" t="s">
        <v>409</v>
      </c>
      <c r="C180" s="3" t="s">
        <v>2</v>
      </c>
      <c r="D180" s="3" t="s">
        <v>3</v>
      </c>
      <c r="E180" s="3" t="s">
        <v>4</v>
      </c>
      <c r="F180" s="3">
        <v>199.13800000000001</v>
      </c>
      <c r="G180" s="3">
        <v>207.19200000000001</v>
      </c>
      <c r="H180" s="3">
        <v>45197</v>
      </c>
      <c r="I180" s="3" t="s">
        <v>5</v>
      </c>
      <c r="J180" s="3" t="s">
        <v>6</v>
      </c>
      <c r="K180" s="3" t="s">
        <v>6</v>
      </c>
      <c r="L180" s="3"/>
      <c r="M180" s="3">
        <v>36514</v>
      </c>
      <c r="N180" s="3" t="s">
        <v>7</v>
      </c>
      <c r="O180" s="3" t="s">
        <v>8</v>
      </c>
      <c r="P180" s="3" t="s">
        <v>6</v>
      </c>
      <c r="Q180" s="3" t="s">
        <v>6</v>
      </c>
      <c r="R180" s="10">
        <v>45.518720190000003</v>
      </c>
      <c r="S180" s="10">
        <v>45.541092990000003</v>
      </c>
      <c r="T180" s="10">
        <v>11.63568209</v>
      </c>
      <c r="U180" s="10">
        <v>28.9</v>
      </c>
      <c r="V180" s="10">
        <v>34.9</v>
      </c>
      <c r="W180" s="10">
        <v>11.540767389999999</v>
      </c>
      <c r="X180">
        <v>0</v>
      </c>
      <c r="Y180" s="10">
        <f t="shared" si="4"/>
        <v>45.529906590000003</v>
      </c>
      <c r="Z180" s="10">
        <f t="shared" si="5"/>
        <v>11.588224739999999</v>
      </c>
    </row>
    <row r="181" spans="1:26" x14ac:dyDescent="0.2">
      <c r="A181" s="3" t="s">
        <v>410</v>
      </c>
      <c r="B181" s="3" t="s">
        <v>411</v>
      </c>
      <c r="C181" s="3" t="s">
        <v>2</v>
      </c>
      <c r="D181" s="3" t="s">
        <v>3</v>
      </c>
      <c r="E181" s="3" t="s">
        <v>4</v>
      </c>
      <c r="F181" s="3">
        <v>207.19200000000001</v>
      </c>
      <c r="G181" s="3">
        <v>214.06800000000001</v>
      </c>
      <c r="H181" s="3">
        <v>43107</v>
      </c>
      <c r="I181" s="3" t="s">
        <v>31</v>
      </c>
      <c r="J181" s="3" t="s">
        <v>6</v>
      </c>
      <c r="K181" s="3" t="s">
        <v>6</v>
      </c>
      <c r="L181" s="3"/>
      <c r="M181" s="3">
        <v>36514</v>
      </c>
      <c r="N181" s="3" t="s">
        <v>7</v>
      </c>
      <c r="O181" s="3" t="s">
        <v>8</v>
      </c>
      <c r="P181" s="3" t="s">
        <v>6</v>
      </c>
      <c r="Q181" s="3" t="s">
        <v>6</v>
      </c>
      <c r="R181" s="10">
        <v>45.486377089999998</v>
      </c>
      <c r="S181" s="10">
        <v>45.518720190000003</v>
      </c>
      <c r="T181" s="10">
        <v>11.71076609</v>
      </c>
      <c r="U181" s="10">
        <v>24.6</v>
      </c>
      <c r="V181" s="10">
        <v>28.9</v>
      </c>
      <c r="W181" s="10">
        <v>11.63568209</v>
      </c>
      <c r="X181">
        <v>0</v>
      </c>
      <c r="Y181" s="10">
        <f t="shared" si="4"/>
        <v>45.502548640000001</v>
      </c>
      <c r="Z181" s="10">
        <f t="shared" si="5"/>
        <v>11.67322409</v>
      </c>
    </row>
    <row r="182" spans="1:26" x14ac:dyDescent="0.2">
      <c r="A182" s="3" t="s">
        <v>412</v>
      </c>
      <c r="B182" s="3" t="s">
        <v>413</v>
      </c>
      <c r="C182" s="3" t="s">
        <v>2</v>
      </c>
      <c r="D182" s="3" t="s">
        <v>3</v>
      </c>
      <c r="E182" s="3" t="s">
        <v>4</v>
      </c>
      <c r="F182" s="3">
        <v>214.06800000000001</v>
      </c>
      <c r="G182" s="3">
        <v>219.928</v>
      </c>
      <c r="H182" s="3">
        <v>45198</v>
      </c>
      <c r="I182" s="3" t="s">
        <v>5</v>
      </c>
      <c r="J182" s="3" t="s">
        <v>6</v>
      </c>
      <c r="K182" s="3" t="s">
        <v>6</v>
      </c>
      <c r="L182" s="3"/>
      <c r="M182" s="3">
        <v>36514</v>
      </c>
      <c r="N182" s="3" t="s">
        <v>7</v>
      </c>
      <c r="O182" s="3" t="s">
        <v>8</v>
      </c>
      <c r="P182" s="3" t="s">
        <v>6</v>
      </c>
      <c r="Q182" s="3" t="s">
        <v>6</v>
      </c>
      <c r="R182" s="10">
        <v>45.45787009</v>
      </c>
      <c r="S182" s="10">
        <v>45.486377089999998</v>
      </c>
      <c r="T182" s="10">
        <v>11.7738631</v>
      </c>
      <c r="U182" s="10">
        <v>20.8</v>
      </c>
      <c r="V182" s="10">
        <v>24.6</v>
      </c>
      <c r="W182" s="10">
        <v>11.71076609</v>
      </c>
      <c r="X182">
        <v>0</v>
      </c>
      <c r="Y182" s="10">
        <f t="shared" si="4"/>
        <v>45.472123589999995</v>
      </c>
      <c r="Z182" s="10">
        <f t="shared" si="5"/>
        <v>11.742314595</v>
      </c>
    </row>
    <row r="183" spans="1:26" x14ac:dyDescent="0.2">
      <c r="A183" s="3" t="s">
        <v>414</v>
      </c>
      <c r="B183" s="3" t="s">
        <v>415</v>
      </c>
      <c r="C183" s="3" t="s">
        <v>2</v>
      </c>
      <c r="D183" s="3" t="s">
        <v>3</v>
      </c>
      <c r="E183" s="3" t="s">
        <v>4</v>
      </c>
      <c r="F183" s="3">
        <v>235.173</v>
      </c>
      <c r="G183" s="3">
        <v>240.79</v>
      </c>
      <c r="H183" s="3">
        <v>43131</v>
      </c>
      <c r="I183" s="3" t="s">
        <v>31</v>
      </c>
      <c r="J183" s="3" t="s">
        <v>6</v>
      </c>
      <c r="K183" s="3" t="s">
        <v>6</v>
      </c>
      <c r="L183" s="3">
        <v>42351</v>
      </c>
      <c r="M183" s="3">
        <v>36514</v>
      </c>
      <c r="N183" s="3" t="s">
        <v>7</v>
      </c>
      <c r="O183" s="3" t="s">
        <v>8</v>
      </c>
      <c r="P183" s="3" t="s">
        <v>6</v>
      </c>
      <c r="Q183" s="3" t="s">
        <v>6</v>
      </c>
      <c r="R183" s="10">
        <v>45.443466790000002</v>
      </c>
      <c r="S183" s="10">
        <v>45.430084290000003</v>
      </c>
      <c r="T183" s="10">
        <v>12.02132299</v>
      </c>
      <c r="U183" s="10">
        <v>7.7</v>
      </c>
      <c r="V183" s="10">
        <v>16.2</v>
      </c>
      <c r="W183" s="10">
        <v>11.95230789</v>
      </c>
      <c r="X183">
        <v>0</v>
      </c>
      <c r="Y183" s="10">
        <f t="shared" si="4"/>
        <v>45.436775539999999</v>
      </c>
      <c r="Z183" s="10">
        <f t="shared" si="5"/>
        <v>11.986815440000001</v>
      </c>
    </row>
    <row r="184" spans="1:26" x14ac:dyDescent="0.2">
      <c r="A184" s="3" t="s">
        <v>416</v>
      </c>
      <c r="B184" s="3" t="s">
        <v>417</v>
      </c>
      <c r="C184" s="3" t="s">
        <v>2</v>
      </c>
      <c r="D184" s="3" t="s">
        <v>3</v>
      </c>
      <c r="E184" s="3" t="s">
        <v>4</v>
      </c>
      <c r="F184" s="3">
        <v>240.79</v>
      </c>
      <c r="G184" s="3">
        <v>244.89699999999999</v>
      </c>
      <c r="H184" s="3">
        <v>43107</v>
      </c>
      <c r="I184" s="3" t="s">
        <v>31</v>
      </c>
      <c r="J184" s="3" t="s">
        <v>6</v>
      </c>
      <c r="K184" s="3" t="s">
        <v>6</v>
      </c>
      <c r="L184" s="3">
        <v>38912</v>
      </c>
      <c r="M184" s="3">
        <v>36514</v>
      </c>
      <c r="N184" s="3" t="s">
        <v>7</v>
      </c>
      <c r="O184" s="3" t="s">
        <v>8</v>
      </c>
      <c r="P184" s="3" t="s">
        <v>6</v>
      </c>
      <c r="Q184" s="3" t="s">
        <v>6</v>
      </c>
      <c r="R184" s="10">
        <v>45.453459590000001</v>
      </c>
      <c r="S184" s="10">
        <v>45.443466790000002</v>
      </c>
      <c r="T184" s="10">
        <v>12.07161689</v>
      </c>
      <c r="U184" s="10">
        <v>7.1</v>
      </c>
      <c r="V184" s="10">
        <v>7.7</v>
      </c>
      <c r="W184" s="10">
        <v>12.02132299</v>
      </c>
      <c r="X184">
        <v>0</v>
      </c>
      <c r="Y184" s="10">
        <f t="shared" si="4"/>
        <v>45.448463189999998</v>
      </c>
      <c r="Z184" s="10">
        <f t="shared" si="5"/>
        <v>12.04646994</v>
      </c>
    </row>
    <row r="185" spans="1:26" x14ac:dyDescent="0.2">
      <c r="A185" s="3" t="s">
        <v>418</v>
      </c>
      <c r="B185" s="3" t="s">
        <v>419</v>
      </c>
      <c r="C185" s="3" t="s">
        <v>2</v>
      </c>
      <c r="D185" s="3" t="s">
        <v>3</v>
      </c>
      <c r="E185" s="3" t="s">
        <v>4</v>
      </c>
      <c r="F185" s="3">
        <v>244.89699999999999</v>
      </c>
      <c r="G185" s="3">
        <v>248.726</v>
      </c>
      <c r="H185" s="3">
        <v>43496</v>
      </c>
      <c r="I185" s="3" t="s">
        <v>31</v>
      </c>
      <c r="J185" s="3" t="s">
        <v>6</v>
      </c>
      <c r="K185" s="3" t="s">
        <v>6</v>
      </c>
      <c r="L185" s="3"/>
      <c r="M185" s="3">
        <v>36514</v>
      </c>
      <c r="N185" s="3" t="s">
        <v>7</v>
      </c>
      <c r="O185" s="3" t="s">
        <v>8</v>
      </c>
      <c r="P185" s="3" t="s">
        <v>6</v>
      </c>
      <c r="Q185" s="3" t="s">
        <v>6</v>
      </c>
      <c r="R185" s="10">
        <v>45.462978290000002</v>
      </c>
      <c r="S185" s="10">
        <v>45.453459590000001</v>
      </c>
      <c r="T185" s="10">
        <v>12.118938890000001</v>
      </c>
      <c r="U185" s="10">
        <v>8</v>
      </c>
      <c r="V185" s="10">
        <v>7.1</v>
      </c>
      <c r="W185" s="10">
        <v>12.07161689</v>
      </c>
      <c r="X185">
        <v>0</v>
      </c>
      <c r="Y185" s="10">
        <f t="shared" si="4"/>
        <v>45.458218940000002</v>
      </c>
      <c r="Z185" s="10">
        <f t="shared" si="5"/>
        <v>12.09527789</v>
      </c>
    </row>
    <row r="186" spans="1:26" x14ac:dyDescent="0.2">
      <c r="A186" s="3" t="s">
        <v>420</v>
      </c>
      <c r="B186" s="3" t="s">
        <v>421</v>
      </c>
      <c r="C186" s="3" t="s">
        <v>2</v>
      </c>
      <c r="D186" s="3" t="s">
        <v>3</v>
      </c>
      <c r="E186" s="3" t="s">
        <v>4</v>
      </c>
      <c r="F186" s="3">
        <v>229.40799999999999</v>
      </c>
      <c r="G186" s="3">
        <v>230.61799999999999</v>
      </c>
      <c r="H186" s="3">
        <v>44111</v>
      </c>
      <c r="I186" s="3" t="s">
        <v>12</v>
      </c>
      <c r="J186" s="3" t="s">
        <v>6</v>
      </c>
      <c r="K186" s="3" t="s">
        <v>6</v>
      </c>
      <c r="L186" s="3">
        <v>39600</v>
      </c>
      <c r="M186" s="3">
        <v>37228</v>
      </c>
      <c r="N186" s="3" t="s">
        <v>7</v>
      </c>
      <c r="O186" s="3" t="s">
        <v>8</v>
      </c>
      <c r="P186" s="3" t="s">
        <v>6</v>
      </c>
      <c r="Q186" s="3" t="s">
        <v>6</v>
      </c>
      <c r="R186" s="10">
        <v>45.41915899</v>
      </c>
      <c r="S186" s="10">
        <v>45.417843490000003</v>
      </c>
      <c r="T186" s="10">
        <v>11.895946289999999</v>
      </c>
      <c r="U186" s="10">
        <v>10.8</v>
      </c>
      <c r="V186" s="10">
        <v>10.4</v>
      </c>
      <c r="W186" s="10">
        <v>11.88079739</v>
      </c>
      <c r="X186">
        <v>0</v>
      </c>
      <c r="Y186" s="10">
        <f t="shared" si="4"/>
        <v>45.418501239999998</v>
      </c>
      <c r="Z186" s="10">
        <f t="shared" si="5"/>
        <v>11.88837184</v>
      </c>
    </row>
    <row r="187" spans="1:26" x14ac:dyDescent="0.2">
      <c r="A187" s="3" t="s">
        <v>422</v>
      </c>
      <c r="B187" s="3" t="s">
        <v>423</v>
      </c>
      <c r="C187" s="3" t="s">
        <v>2</v>
      </c>
      <c r="D187" s="3" t="s">
        <v>3</v>
      </c>
      <c r="E187" s="3" t="s">
        <v>4</v>
      </c>
      <c r="F187" s="3">
        <v>230.61799999999999</v>
      </c>
      <c r="G187" s="3">
        <v>235.173</v>
      </c>
      <c r="H187" s="3">
        <v>43131</v>
      </c>
      <c r="I187" s="3" t="s">
        <v>31</v>
      </c>
      <c r="J187" s="3" t="s">
        <v>6</v>
      </c>
      <c r="K187" s="3" t="s">
        <v>6</v>
      </c>
      <c r="L187" s="3">
        <v>42351</v>
      </c>
      <c r="M187" s="3">
        <v>37228</v>
      </c>
      <c r="N187" s="3" t="s">
        <v>7</v>
      </c>
      <c r="O187" s="3" t="s">
        <v>8</v>
      </c>
      <c r="P187" s="3" t="s">
        <v>6</v>
      </c>
      <c r="Q187" s="3" t="s">
        <v>6</v>
      </c>
      <c r="R187" s="10">
        <v>45.430084290000003</v>
      </c>
      <c r="S187" s="10">
        <v>45.41915899</v>
      </c>
      <c r="T187" s="10">
        <v>11.95230789</v>
      </c>
      <c r="U187" s="10">
        <v>16.2</v>
      </c>
      <c r="V187" s="10">
        <v>10.8</v>
      </c>
      <c r="W187" s="10">
        <v>11.895946289999999</v>
      </c>
      <c r="X187">
        <v>0</v>
      </c>
      <c r="Y187" s="10">
        <f t="shared" si="4"/>
        <v>45.424621639999998</v>
      </c>
      <c r="Z187" s="10">
        <f t="shared" si="5"/>
        <v>11.924127089999999</v>
      </c>
    </row>
    <row r="188" spans="1:26" x14ac:dyDescent="0.2">
      <c r="A188" s="3" t="s">
        <v>424</v>
      </c>
      <c r="B188" s="3" t="s">
        <v>425</v>
      </c>
      <c r="C188" s="3" t="s">
        <v>2</v>
      </c>
      <c r="D188" s="3" t="s">
        <v>3</v>
      </c>
      <c r="E188" s="3" t="s">
        <v>4</v>
      </c>
      <c r="F188" s="3">
        <v>1.115</v>
      </c>
      <c r="G188" s="3">
        <v>3.794</v>
      </c>
      <c r="H188" s="3">
        <v>44834</v>
      </c>
      <c r="I188" s="3" t="s">
        <v>149</v>
      </c>
      <c r="J188" s="3" t="s">
        <v>6</v>
      </c>
      <c r="K188" s="3" t="s">
        <v>6</v>
      </c>
      <c r="L188" s="3">
        <v>38673</v>
      </c>
      <c r="M188" s="3">
        <v>37228</v>
      </c>
      <c r="N188" s="3" t="s">
        <v>7</v>
      </c>
      <c r="O188" s="3" t="s">
        <v>8</v>
      </c>
      <c r="P188" s="3" t="s">
        <v>6</v>
      </c>
      <c r="Q188" s="3" t="s">
        <v>6</v>
      </c>
      <c r="R188" s="10">
        <v>45.395652890000001</v>
      </c>
      <c r="S188" s="10">
        <v>45.416684590000003</v>
      </c>
      <c r="T188" s="10">
        <v>11.921623990000001</v>
      </c>
      <c r="U188" s="10">
        <v>11.8</v>
      </c>
      <c r="V188" s="10">
        <v>10.6</v>
      </c>
      <c r="W188" s="10">
        <v>11.909453490000001</v>
      </c>
      <c r="X188">
        <v>0</v>
      </c>
      <c r="Y188" s="10">
        <f t="shared" si="4"/>
        <v>45.406168739999998</v>
      </c>
      <c r="Z188" s="10">
        <f t="shared" si="5"/>
        <v>11.915538740000001</v>
      </c>
    </row>
    <row r="189" spans="1:26" x14ac:dyDescent="0.2">
      <c r="A189" s="3" t="s">
        <v>426</v>
      </c>
      <c r="B189" s="3" t="s">
        <v>427</v>
      </c>
      <c r="C189" s="3" t="s">
        <v>2</v>
      </c>
      <c r="D189" s="3" t="s">
        <v>3</v>
      </c>
      <c r="E189" s="3" t="s">
        <v>4</v>
      </c>
      <c r="F189" s="3">
        <v>0</v>
      </c>
      <c r="G189" s="3">
        <v>1.115</v>
      </c>
      <c r="H189" s="3">
        <v>44834</v>
      </c>
      <c r="I189" s="3" t="s">
        <v>149</v>
      </c>
      <c r="J189" s="3" t="s">
        <v>6</v>
      </c>
      <c r="K189" s="3" t="s">
        <v>6</v>
      </c>
      <c r="L189" s="3">
        <v>38673</v>
      </c>
      <c r="M189" s="3">
        <v>38775</v>
      </c>
      <c r="N189" s="3" t="s">
        <v>7</v>
      </c>
      <c r="O189" s="3" t="s">
        <v>8</v>
      </c>
      <c r="P189" s="3" t="s">
        <v>6</v>
      </c>
      <c r="Q189" s="3" t="s">
        <v>6</v>
      </c>
      <c r="R189" s="10">
        <v>45.416684590000003</v>
      </c>
      <c r="S189" s="10">
        <v>45.41915899</v>
      </c>
      <c r="T189" s="10">
        <v>11.909453490000001</v>
      </c>
      <c r="U189" s="10">
        <v>10.6</v>
      </c>
      <c r="V189" s="10">
        <v>10.8</v>
      </c>
      <c r="W189" s="10">
        <v>11.895946289999999</v>
      </c>
      <c r="X189">
        <v>0</v>
      </c>
      <c r="Y189" s="10">
        <f t="shared" si="4"/>
        <v>45.417921790000001</v>
      </c>
      <c r="Z189" s="10">
        <f t="shared" si="5"/>
        <v>11.902699890000001</v>
      </c>
    </row>
    <row r="190" spans="1:26" x14ac:dyDescent="0.2">
      <c r="A190" s="3" t="s">
        <v>428</v>
      </c>
      <c r="B190" s="3" t="s">
        <v>429</v>
      </c>
      <c r="C190" s="3" t="s">
        <v>2</v>
      </c>
      <c r="D190" s="3" t="s">
        <v>3</v>
      </c>
      <c r="E190" s="3" t="s">
        <v>4</v>
      </c>
      <c r="F190" s="3">
        <v>248.726</v>
      </c>
      <c r="G190" s="3">
        <v>256.39999999999998</v>
      </c>
      <c r="H190" s="3">
        <v>44802</v>
      </c>
      <c r="I190" s="3" t="s">
        <v>5</v>
      </c>
      <c r="J190" s="3" t="s">
        <v>6</v>
      </c>
      <c r="K190" s="3" t="s">
        <v>6</v>
      </c>
      <c r="L190" s="3">
        <v>39086</v>
      </c>
      <c r="M190" s="3">
        <v>38142</v>
      </c>
      <c r="N190" s="3" t="s">
        <v>7</v>
      </c>
      <c r="O190" s="3" t="s">
        <v>8</v>
      </c>
      <c r="P190" s="3" t="s">
        <v>6</v>
      </c>
      <c r="Q190" s="3" t="s">
        <v>430</v>
      </c>
      <c r="R190" s="10">
        <v>45.483417789999997</v>
      </c>
      <c r="S190" s="10">
        <v>45.462978290000002</v>
      </c>
      <c r="T190" s="10">
        <v>12.213835789999999</v>
      </c>
      <c r="U190" s="10">
        <v>3.9</v>
      </c>
      <c r="V190" s="10">
        <v>8</v>
      </c>
      <c r="W190" s="10">
        <v>12.118938890000001</v>
      </c>
      <c r="X190">
        <v>0</v>
      </c>
      <c r="Y190" s="10">
        <f t="shared" si="4"/>
        <v>45.47319804</v>
      </c>
      <c r="Z190" s="10">
        <f t="shared" si="5"/>
        <v>12.16638734</v>
      </c>
    </row>
    <row r="191" spans="1:26" x14ac:dyDescent="0.2">
      <c r="A191" s="3" t="s">
        <v>431</v>
      </c>
      <c r="B191" s="3" t="s">
        <v>432</v>
      </c>
      <c r="C191" s="3" t="s">
        <v>11</v>
      </c>
      <c r="D191" s="3" t="s">
        <v>3</v>
      </c>
      <c r="E191" s="3" t="s">
        <v>4</v>
      </c>
      <c r="F191" s="3">
        <v>118.492</v>
      </c>
      <c r="G191" s="3">
        <v>128.953</v>
      </c>
      <c r="H191" s="3">
        <v>43131</v>
      </c>
      <c r="I191" s="3" t="s">
        <v>31</v>
      </c>
      <c r="J191" s="3" t="s">
        <v>6</v>
      </c>
      <c r="K191" s="3" t="s">
        <v>6</v>
      </c>
      <c r="L191" s="3"/>
      <c r="M191" s="3">
        <v>36514</v>
      </c>
      <c r="N191" s="3" t="s">
        <v>7</v>
      </c>
      <c r="O191" s="3" t="s">
        <v>8</v>
      </c>
      <c r="P191" s="3" t="s">
        <v>6</v>
      </c>
      <c r="Q191" s="3" t="s">
        <v>6</v>
      </c>
      <c r="R191" s="10">
        <v>46.386264599999997</v>
      </c>
      <c r="S191" s="10">
        <v>46.443818100000001</v>
      </c>
      <c r="T191" s="10">
        <v>12.35250299</v>
      </c>
      <c r="U191" s="10">
        <v>556.9</v>
      </c>
      <c r="V191" s="10">
        <v>738.2</v>
      </c>
      <c r="W191" s="10">
        <v>12.388682790000001</v>
      </c>
      <c r="X191">
        <v>0</v>
      </c>
      <c r="Y191" s="10">
        <f t="shared" si="4"/>
        <v>46.415041349999996</v>
      </c>
      <c r="Z191" s="10">
        <f t="shared" si="5"/>
        <v>12.370592890000001</v>
      </c>
    </row>
    <row r="192" spans="1:26" x14ac:dyDescent="0.2">
      <c r="A192" s="3" t="s">
        <v>433</v>
      </c>
      <c r="B192" s="3" t="s">
        <v>434</v>
      </c>
      <c r="C192" s="3" t="s">
        <v>11</v>
      </c>
      <c r="D192" s="3" t="s">
        <v>3</v>
      </c>
      <c r="E192" s="3" t="s">
        <v>4</v>
      </c>
      <c r="F192" s="3">
        <v>110.578</v>
      </c>
      <c r="G192" s="3">
        <v>118.492</v>
      </c>
      <c r="H192" s="3">
        <v>43107</v>
      </c>
      <c r="I192" s="3" t="s">
        <v>31</v>
      </c>
      <c r="J192" s="3" t="s">
        <v>6</v>
      </c>
      <c r="K192" s="3" t="s">
        <v>6</v>
      </c>
      <c r="L192" s="3"/>
      <c r="M192" s="3">
        <v>36514</v>
      </c>
      <c r="N192" s="3" t="s">
        <v>7</v>
      </c>
      <c r="O192" s="3" t="s">
        <v>8</v>
      </c>
      <c r="P192" s="3" t="s">
        <v>6</v>
      </c>
      <c r="Q192" s="3" t="s">
        <v>6</v>
      </c>
      <c r="R192" s="10">
        <v>46.325761489999998</v>
      </c>
      <c r="S192" s="10">
        <v>46.386264599999997</v>
      </c>
      <c r="T192" s="10">
        <v>12.31844239</v>
      </c>
      <c r="U192" s="10">
        <v>505.1</v>
      </c>
      <c r="V192" s="10">
        <v>556.9</v>
      </c>
      <c r="W192" s="10">
        <v>12.35250299</v>
      </c>
      <c r="X192">
        <v>0</v>
      </c>
      <c r="Y192" s="10">
        <f t="shared" si="4"/>
        <v>46.356013044999997</v>
      </c>
      <c r="Z192" s="10">
        <f t="shared" si="5"/>
        <v>12.33547269</v>
      </c>
    </row>
    <row r="193" spans="1:26" x14ac:dyDescent="0.2">
      <c r="A193" s="3" t="s">
        <v>435</v>
      </c>
      <c r="B193" s="3" t="s">
        <v>436</v>
      </c>
      <c r="C193" s="3" t="s">
        <v>11</v>
      </c>
      <c r="D193" s="3" t="s">
        <v>3</v>
      </c>
      <c r="E193" s="3" t="s">
        <v>4</v>
      </c>
      <c r="F193" s="3">
        <v>99.748999999999995</v>
      </c>
      <c r="G193" s="3">
        <v>103.033</v>
      </c>
      <c r="H193" s="3">
        <v>43107</v>
      </c>
      <c r="I193" s="3" t="s">
        <v>31</v>
      </c>
      <c r="J193" s="3" t="s">
        <v>6</v>
      </c>
      <c r="K193" s="3" t="s">
        <v>6</v>
      </c>
      <c r="L193" s="3"/>
      <c r="M193" s="3">
        <v>36514</v>
      </c>
      <c r="N193" s="3" t="s">
        <v>7</v>
      </c>
      <c r="O193" s="3" t="s">
        <v>8</v>
      </c>
      <c r="P193" s="3" t="s">
        <v>6</v>
      </c>
      <c r="Q193" s="3" t="s">
        <v>6</v>
      </c>
      <c r="R193" s="10">
        <v>46.239433089999999</v>
      </c>
      <c r="S193" s="10">
        <v>46.267456189999997</v>
      </c>
      <c r="T193" s="10">
        <v>12.29413529</v>
      </c>
      <c r="U193" s="10">
        <v>446.2</v>
      </c>
      <c r="V193" s="10">
        <v>466.1</v>
      </c>
      <c r="W193" s="10">
        <v>12.301964890000001</v>
      </c>
      <c r="X193">
        <v>0</v>
      </c>
      <c r="Y193" s="10">
        <f t="shared" si="4"/>
        <v>46.253444639999998</v>
      </c>
      <c r="Z193" s="10">
        <f t="shared" si="5"/>
        <v>12.29805009</v>
      </c>
    </row>
    <row r="194" spans="1:26" x14ac:dyDescent="0.2">
      <c r="A194" s="3" t="s">
        <v>437</v>
      </c>
      <c r="B194" s="3" t="s">
        <v>438</v>
      </c>
      <c r="C194" s="3" t="s">
        <v>11</v>
      </c>
      <c r="D194" s="3" t="s">
        <v>3</v>
      </c>
      <c r="E194" s="3" t="s">
        <v>4</v>
      </c>
      <c r="F194" s="3">
        <v>92.715000000000003</v>
      </c>
      <c r="G194" s="3">
        <v>99.748999999999995</v>
      </c>
      <c r="H194" s="3">
        <v>43131</v>
      </c>
      <c r="I194" s="3" t="s">
        <v>31</v>
      </c>
      <c r="J194" s="3" t="s">
        <v>6</v>
      </c>
      <c r="K194" s="3" t="s">
        <v>6</v>
      </c>
      <c r="L194" s="3"/>
      <c r="M194" s="3">
        <v>36514</v>
      </c>
      <c r="N194" s="3" t="s">
        <v>7</v>
      </c>
      <c r="O194" s="3" t="s">
        <v>8</v>
      </c>
      <c r="P194" s="3" t="s">
        <v>6</v>
      </c>
      <c r="Q194" s="3" t="s">
        <v>6</v>
      </c>
      <c r="R194" s="10">
        <v>46.182316399999998</v>
      </c>
      <c r="S194" s="10">
        <v>46.239433089999999</v>
      </c>
      <c r="T194" s="10">
        <v>12.27762699</v>
      </c>
      <c r="U194" s="10">
        <v>398.9</v>
      </c>
      <c r="V194" s="10">
        <v>446.2</v>
      </c>
      <c r="W194" s="10">
        <v>12.29413529</v>
      </c>
      <c r="X194">
        <v>0</v>
      </c>
      <c r="Y194" s="10">
        <f t="shared" si="4"/>
        <v>46.210874744999998</v>
      </c>
      <c r="Z194" s="10">
        <f t="shared" si="5"/>
        <v>12.285881140000001</v>
      </c>
    </row>
    <row r="195" spans="1:26" x14ac:dyDescent="0.2">
      <c r="A195" s="3" t="s">
        <v>439</v>
      </c>
      <c r="B195" s="3" t="s">
        <v>440</v>
      </c>
      <c r="C195" s="3" t="s">
        <v>11</v>
      </c>
      <c r="D195" s="3" t="s">
        <v>3</v>
      </c>
      <c r="E195" s="3" t="s">
        <v>4</v>
      </c>
      <c r="F195" s="3">
        <v>85.093000000000004</v>
      </c>
      <c r="G195" s="3">
        <v>92.715000000000003</v>
      </c>
      <c r="H195" s="3">
        <v>44890</v>
      </c>
      <c r="I195" s="3" t="s">
        <v>5</v>
      </c>
      <c r="J195" s="3" t="s">
        <v>6</v>
      </c>
      <c r="K195" s="3" t="s">
        <v>6</v>
      </c>
      <c r="L195" s="3"/>
      <c r="M195" s="3">
        <v>36514</v>
      </c>
      <c r="N195" s="3" t="s">
        <v>7</v>
      </c>
      <c r="O195" s="3" t="s">
        <v>8</v>
      </c>
      <c r="P195" s="3" t="s">
        <v>6</v>
      </c>
      <c r="Q195" s="3" t="s">
        <v>6</v>
      </c>
      <c r="R195" s="10">
        <v>46.141587389999998</v>
      </c>
      <c r="S195" s="10">
        <v>46.182316399999998</v>
      </c>
      <c r="T195" s="10">
        <v>12.209724789999999</v>
      </c>
      <c r="U195" s="10">
        <v>398.3</v>
      </c>
      <c r="V195" s="10">
        <v>398.9</v>
      </c>
      <c r="W195" s="10">
        <v>12.27762699</v>
      </c>
      <c r="X195">
        <v>0</v>
      </c>
      <c r="Y195" s="10">
        <f t="shared" ref="Y195:Y258" si="6">IF(LEFT(A195,2)="TR",(S195+R195)/2,S195)</f>
        <v>46.161951895000001</v>
      </c>
      <c r="Z195" s="10">
        <f t="shared" ref="Z195:Z258" si="7">IF(LEFT(A195,2)="TR",(W195+T195)/2,W195)</f>
        <v>12.243675889999999</v>
      </c>
    </row>
    <row r="196" spans="1:26" x14ac:dyDescent="0.2">
      <c r="A196" s="3" t="s">
        <v>441</v>
      </c>
      <c r="B196" s="3" t="s">
        <v>442</v>
      </c>
      <c r="C196" s="3" t="s">
        <v>11</v>
      </c>
      <c r="D196" s="3" t="s">
        <v>3</v>
      </c>
      <c r="E196" s="3" t="s">
        <v>4</v>
      </c>
      <c r="F196" s="3">
        <v>73.025000000000006</v>
      </c>
      <c r="G196" s="3">
        <v>85.093000000000004</v>
      </c>
      <c r="H196" s="3">
        <v>45328</v>
      </c>
      <c r="I196" s="3" t="s">
        <v>5</v>
      </c>
      <c r="J196" s="3" t="s">
        <v>6</v>
      </c>
      <c r="K196" s="3" t="s">
        <v>6</v>
      </c>
      <c r="L196" s="3"/>
      <c r="M196" s="3">
        <v>36514</v>
      </c>
      <c r="N196" s="3" t="s">
        <v>7</v>
      </c>
      <c r="O196" s="3" t="s">
        <v>8</v>
      </c>
      <c r="P196" s="3" t="s">
        <v>6</v>
      </c>
      <c r="Q196" s="3" t="s">
        <v>6</v>
      </c>
      <c r="R196" s="10">
        <v>46.09541359</v>
      </c>
      <c r="S196" s="10">
        <v>46.141587389999998</v>
      </c>
      <c r="T196" s="10">
        <v>12.086527589999999</v>
      </c>
      <c r="U196" s="10">
        <v>300.5</v>
      </c>
      <c r="V196" s="10">
        <v>398.3</v>
      </c>
      <c r="W196" s="10">
        <v>12.209724789999999</v>
      </c>
      <c r="X196">
        <v>0</v>
      </c>
      <c r="Y196" s="10">
        <f t="shared" si="6"/>
        <v>46.118500490000002</v>
      </c>
      <c r="Z196" s="10">
        <f t="shared" si="7"/>
        <v>12.148126189999999</v>
      </c>
    </row>
    <row r="197" spans="1:26" x14ac:dyDescent="0.2">
      <c r="A197" s="3" t="s">
        <v>443</v>
      </c>
      <c r="B197" s="3" t="s">
        <v>444</v>
      </c>
      <c r="C197" s="3" t="s">
        <v>11</v>
      </c>
      <c r="D197" s="3" t="s">
        <v>3</v>
      </c>
      <c r="E197" s="3" t="s">
        <v>4</v>
      </c>
      <c r="F197" s="3">
        <v>68.760000000000005</v>
      </c>
      <c r="G197" s="3">
        <v>73.025000000000006</v>
      </c>
      <c r="H197" s="3">
        <v>44543</v>
      </c>
      <c r="I197" s="3" t="s">
        <v>24</v>
      </c>
      <c r="J197" s="3" t="s">
        <v>6</v>
      </c>
      <c r="K197" s="3" t="s">
        <v>6</v>
      </c>
      <c r="L197" s="3"/>
      <c r="M197" s="3">
        <v>36514</v>
      </c>
      <c r="N197" s="3" t="s">
        <v>7</v>
      </c>
      <c r="O197" s="3" t="s">
        <v>8</v>
      </c>
      <c r="P197" s="3" t="s">
        <v>6</v>
      </c>
      <c r="Q197" s="3" t="s">
        <v>6</v>
      </c>
      <c r="R197" s="10">
        <v>46.077641589999999</v>
      </c>
      <c r="S197" s="10">
        <v>46.09541359</v>
      </c>
      <c r="T197" s="10">
        <v>12.042962190000001</v>
      </c>
      <c r="U197" s="10">
        <v>295.10000000000002</v>
      </c>
      <c r="V197" s="10">
        <v>300.5</v>
      </c>
      <c r="W197" s="10">
        <v>12.086527589999999</v>
      </c>
      <c r="X197">
        <v>0</v>
      </c>
      <c r="Y197" s="10">
        <f t="shared" si="6"/>
        <v>46.086527590000003</v>
      </c>
      <c r="Z197" s="10">
        <f t="shared" si="7"/>
        <v>12.06474489</v>
      </c>
    </row>
    <row r="198" spans="1:26" x14ac:dyDescent="0.2">
      <c r="A198" s="3" t="s">
        <v>445</v>
      </c>
      <c r="B198" s="3" t="s">
        <v>446</v>
      </c>
      <c r="C198" s="3" t="s">
        <v>11</v>
      </c>
      <c r="D198" s="3" t="s">
        <v>3</v>
      </c>
      <c r="E198" s="3" t="s">
        <v>4</v>
      </c>
      <c r="F198" s="3">
        <v>61.639000000000003</v>
      </c>
      <c r="G198" s="3">
        <v>68.760000000000005</v>
      </c>
      <c r="H198" s="3">
        <v>44543</v>
      </c>
      <c r="I198" s="3" t="s">
        <v>24</v>
      </c>
      <c r="J198" s="3" t="s">
        <v>6</v>
      </c>
      <c r="K198" s="3" t="s">
        <v>6</v>
      </c>
      <c r="L198" s="3"/>
      <c r="M198" s="3">
        <v>36514</v>
      </c>
      <c r="N198" s="3" t="s">
        <v>7</v>
      </c>
      <c r="O198" s="3" t="s">
        <v>8</v>
      </c>
      <c r="P198" s="3" t="s">
        <v>6</v>
      </c>
      <c r="Q198" s="3" t="s">
        <v>6</v>
      </c>
      <c r="R198" s="10">
        <v>46.040084489999998</v>
      </c>
      <c r="S198" s="10">
        <v>46.077641589999999</v>
      </c>
      <c r="T198" s="10">
        <v>11.97926519</v>
      </c>
      <c r="U198" s="10">
        <v>265.3</v>
      </c>
      <c r="V198" s="10">
        <v>295.10000000000002</v>
      </c>
      <c r="W198" s="10">
        <v>12.042962190000001</v>
      </c>
      <c r="X198">
        <v>0</v>
      </c>
      <c r="Y198" s="10">
        <f t="shared" si="6"/>
        <v>46.058863039999999</v>
      </c>
      <c r="Z198" s="10">
        <f t="shared" si="7"/>
        <v>12.01111369</v>
      </c>
    </row>
    <row r="199" spans="1:26" x14ac:dyDescent="0.2">
      <c r="A199" s="3" t="s">
        <v>447</v>
      </c>
      <c r="B199" s="3" t="s">
        <v>448</v>
      </c>
      <c r="C199" s="3" t="s">
        <v>11</v>
      </c>
      <c r="D199" s="3" t="s">
        <v>3</v>
      </c>
      <c r="E199" s="3" t="s">
        <v>4</v>
      </c>
      <c r="F199" s="3">
        <v>54.56</v>
      </c>
      <c r="G199" s="3">
        <v>61.639000000000003</v>
      </c>
      <c r="H199" s="3">
        <v>44543</v>
      </c>
      <c r="I199" s="3" t="s">
        <v>24</v>
      </c>
      <c r="J199" s="3" t="s">
        <v>6</v>
      </c>
      <c r="K199" s="3" t="s">
        <v>6</v>
      </c>
      <c r="L199" s="3"/>
      <c r="M199" s="3">
        <v>36514</v>
      </c>
      <c r="N199" s="3" t="s">
        <v>7</v>
      </c>
      <c r="O199" s="3" t="s">
        <v>8</v>
      </c>
      <c r="P199" s="3" t="s">
        <v>6</v>
      </c>
      <c r="Q199" s="3" t="s">
        <v>6</v>
      </c>
      <c r="R199" s="10">
        <v>46.012875690000001</v>
      </c>
      <c r="S199" s="10">
        <v>46.040084489999998</v>
      </c>
      <c r="T199" s="10">
        <v>11.91151889</v>
      </c>
      <c r="U199" s="10">
        <v>253.8</v>
      </c>
      <c r="V199" s="10">
        <v>265.3</v>
      </c>
      <c r="W199" s="10">
        <v>11.97926519</v>
      </c>
      <c r="X199">
        <v>0</v>
      </c>
      <c r="Y199" s="10">
        <f t="shared" si="6"/>
        <v>46.02648009</v>
      </c>
      <c r="Z199" s="10">
        <f t="shared" si="7"/>
        <v>11.94539204</v>
      </c>
    </row>
    <row r="200" spans="1:26" x14ac:dyDescent="0.2">
      <c r="A200" s="3" t="s">
        <v>449</v>
      </c>
      <c r="B200" s="3" t="s">
        <v>450</v>
      </c>
      <c r="C200" s="3" t="s">
        <v>11</v>
      </c>
      <c r="D200" s="3" t="s">
        <v>3</v>
      </c>
      <c r="E200" s="3" t="s">
        <v>4</v>
      </c>
      <c r="F200" s="3">
        <v>42.908000000000001</v>
      </c>
      <c r="G200" s="3">
        <v>54.56</v>
      </c>
      <c r="H200" s="3">
        <v>45328</v>
      </c>
      <c r="I200" s="3" t="s">
        <v>5</v>
      </c>
      <c r="J200" s="3" t="s">
        <v>6</v>
      </c>
      <c r="K200" s="3" t="s">
        <v>6</v>
      </c>
      <c r="L200" s="3"/>
      <c r="M200" s="3">
        <v>36514</v>
      </c>
      <c r="N200" s="3" t="s">
        <v>7</v>
      </c>
      <c r="O200" s="3" t="s">
        <v>8</v>
      </c>
      <c r="P200" s="3" t="s">
        <v>6</v>
      </c>
      <c r="Q200" s="3" t="s">
        <v>6</v>
      </c>
      <c r="R200" s="10">
        <v>45.939292899999998</v>
      </c>
      <c r="S200" s="10">
        <v>46.012875690000001</v>
      </c>
      <c r="T200" s="10">
        <v>11.92020829</v>
      </c>
      <c r="U200" s="10">
        <v>196.3</v>
      </c>
      <c r="V200" s="10">
        <v>253.8</v>
      </c>
      <c r="W200" s="10">
        <v>11.91151889</v>
      </c>
      <c r="X200">
        <v>0</v>
      </c>
      <c r="Y200" s="10">
        <f t="shared" si="6"/>
        <v>45.976084295</v>
      </c>
      <c r="Z200" s="10">
        <f t="shared" si="7"/>
        <v>11.915863590000001</v>
      </c>
    </row>
    <row r="201" spans="1:26" x14ac:dyDescent="0.2">
      <c r="A201" s="3" t="s">
        <v>451</v>
      </c>
      <c r="B201" s="3" t="s">
        <v>452</v>
      </c>
      <c r="C201" s="3" t="s">
        <v>11</v>
      </c>
      <c r="D201" s="3" t="s">
        <v>3</v>
      </c>
      <c r="E201" s="3" t="s">
        <v>4</v>
      </c>
      <c r="F201" s="3">
        <v>37.404000000000003</v>
      </c>
      <c r="G201" s="3">
        <v>42.908000000000001</v>
      </c>
      <c r="H201" s="3">
        <v>44816</v>
      </c>
      <c r="I201" s="3" t="s">
        <v>24</v>
      </c>
      <c r="J201" s="3" t="s">
        <v>6</v>
      </c>
      <c r="K201" s="3" t="s">
        <v>6</v>
      </c>
      <c r="L201" s="3"/>
      <c r="M201" s="3">
        <v>36514</v>
      </c>
      <c r="N201" s="3" t="s">
        <v>7</v>
      </c>
      <c r="O201" s="3" t="s">
        <v>8</v>
      </c>
      <c r="P201" s="3" t="s">
        <v>6</v>
      </c>
      <c r="Q201" s="3" t="s">
        <v>6</v>
      </c>
      <c r="R201" s="10">
        <v>45.902277390000002</v>
      </c>
      <c r="S201" s="10">
        <v>45.939292899999998</v>
      </c>
      <c r="T201" s="10">
        <v>11.9445678</v>
      </c>
      <c r="U201" s="10">
        <v>182</v>
      </c>
      <c r="V201" s="10">
        <v>196.3</v>
      </c>
      <c r="W201" s="10">
        <v>11.92020829</v>
      </c>
      <c r="X201">
        <v>0</v>
      </c>
      <c r="Y201" s="10">
        <f t="shared" si="6"/>
        <v>45.920785144999996</v>
      </c>
      <c r="Z201" s="10">
        <f t="shared" si="7"/>
        <v>11.932388045</v>
      </c>
    </row>
    <row r="202" spans="1:26" x14ac:dyDescent="0.2">
      <c r="A202" s="3" t="s">
        <v>453</v>
      </c>
      <c r="B202" s="3" t="s">
        <v>454</v>
      </c>
      <c r="C202" s="3" t="s">
        <v>11</v>
      </c>
      <c r="D202" s="3" t="s">
        <v>3</v>
      </c>
      <c r="E202" s="3" t="s">
        <v>4</v>
      </c>
      <c r="F202" s="3">
        <v>33.914999999999999</v>
      </c>
      <c r="G202" s="3">
        <v>37.404000000000003</v>
      </c>
      <c r="H202" s="3">
        <v>44816</v>
      </c>
      <c r="I202" s="3" t="s">
        <v>24</v>
      </c>
      <c r="J202" s="3" t="s">
        <v>6</v>
      </c>
      <c r="K202" s="3" t="s">
        <v>6</v>
      </c>
      <c r="L202" s="3"/>
      <c r="M202" s="3">
        <v>36514</v>
      </c>
      <c r="N202" s="3" t="s">
        <v>7</v>
      </c>
      <c r="O202" s="3" t="s">
        <v>8</v>
      </c>
      <c r="P202" s="3" t="s">
        <v>6</v>
      </c>
      <c r="Q202" s="3" t="s">
        <v>6</v>
      </c>
      <c r="R202" s="10">
        <v>45.877286300000002</v>
      </c>
      <c r="S202" s="10">
        <v>45.902277390000002</v>
      </c>
      <c r="T202" s="10">
        <v>11.96524179</v>
      </c>
      <c r="U202" s="10">
        <v>168.7</v>
      </c>
      <c r="V202" s="10">
        <v>182</v>
      </c>
      <c r="W202" s="10">
        <v>11.9445678</v>
      </c>
      <c r="X202">
        <v>0</v>
      </c>
      <c r="Y202" s="10">
        <f t="shared" si="6"/>
        <v>45.889781845000002</v>
      </c>
      <c r="Z202" s="10">
        <f t="shared" si="7"/>
        <v>11.954904795000001</v>
      </c>
    </row>
    <row r="203" spans="1:26" x14ac:dyDescent="0.2">
      <c r="A203" s="3" t="s">
        <v>455</v>
      </c>
      <c r="B203" s="3" t="s">
        <v>456</v>
      </c>
      <c r="C203" s="3" t="s">
        <v>11</v>
      </c>
      <c r="D203" s="3" t="s">
        <v>3</v>
      </c>
      <c r="E203" s="3" t="s">
        <v>4</v>
      </c>
      <c r="F203" s="3">
        <v>29.201000000000001</v>
      </c>
      <c r="G203" s="3">
        <v>33.914999999999999</v>
      </c>
      <c r="H203" s="3">
        <v>44816</v>
      </c>
      <c r="I203" s="3" t="s">
        <v>24</v>
      </c>
      <c r="J203" s="3" t="s">
        <v>6</v>
      </c>
      <c r="K203" s="3" t="s">
        <v>6</v>
      </c>
      <c r="L203" s="3"/>
      <c r="M203" s="3">
        <v>36514</v>
      </c>
      <c r="N203" s="3" t="s">
        <v>7</v>
      </c>
      <c r="O203" s="3" t="s">
        <v>8</v>
      </c>
      <c r="P203" s="3" t="s">
        <v>6</v>
      </c>
      <c r="Q203" s="3" t="s">
        <v>6</v>
      </c>
      <c r="R203" s="10">
        <v>45.850151889999999</v>
      </c>
      <c r="S203" s="10">
        <v>45.877286300000002</v>
      </c>
      <c r="T203" s="10">
        <v>12.00667739</v>
      </c>
      <c r="U203" s="10">
        <v>164.8</v>
      </c>
      <c r="V203" s="10">
        <v>168.7</v>
      </c>
      <c r="W203" s="10">
        <v>11.96524179</v>
      </c>
      <c r="X203">
        <v>0</v>
      </c>
      <c r="Y203" s="10">
        <f t="shared" si="6"/>
        <v>45.863719095</v>
      </c>
      <c r="Z203" s="10">
        <f t="shared" si="7"/>
        <v>11.98595959</v>
      </c>
    </row>
    <row r="204" spans="1:26" x14ac:dyDescent="0.2">
      <c r="A204" s="3" t="s">
        <v>457</v>
      </c>
      <c r="B204" s="3" t="s">
        <v>458</v>
      </c>
      <c r="C204" s="3" t="s">
        <v>11</v>
      </c>
      <c r="D204" s="3" t="s">
        <v>3</v>
      </c>
      <c r="E204" s="3" t="s">
        <v>4</v>
      </c>
      <c r="F204" s="3">
        <v>27.331</v>
      </c>
      <c r="G204" s="3">
        <v>29.201000000000001</v>
      </c>
      <c r="H204" s="3">
        <v>44816</v>
      </c>
      <c r="I204" s="3" t="s">
        <v>24</v>
      </c>
      <c r="J204" s="3" t="s">
        <v>6</v>
      </c>
      <c r="K204" s="3" t="s">
        <v>6</v>
      </c>
      <c r="L204" s="3"/>
      <c r="M204" s="3">
        <v>36514</v>
      </c>
      <c r="N204" s="3" t="s">
        <v>7</v>
      </c>
      <c r="O204" s="3" t="s">
        <v>8</v>
      </c>
      <c r="P204" s="3" t="s">
        <v>6</v>
      </c>
      <c r="Q204" s="3" t="s">
        <v>6</v>
      </c>
      <c r="R204" s="10">
        <v>45.833832289999997</v>
      </c>
      <c r="S204" s="10">
        <v>45.850151889999999</v>
      </c>
      <c r="T204" s="10">
        <v>12.012903789999999</v>
      </c>
      <c r="U204" s="10">
        <v>160.9</v>
      </c>
      <c r="V204" s="10">
        <v>164.8</v>
      </c>
      <c r="W204" s="10">
        <v>12.00667739</v>
      </c>
      <c r="X204">
        <v>0</v>
      </c>
      <c r="Y204" s="10">
        <f t="shared" si="6"/>
        <v>45.841992089999998</v>
      </c>
      <c r="Z204" s="10">
        <f t="shared" si="7"/>
        <v>12.00979059</v>
      </c>
    </row>
    <row r="205" spans="1:26" x14ac:dyDescent="0.2">
      <c r="A205" s="3" t="s">
        <v>459</v>
      </c>
      <c r="B205" s="3" t="s">
        <v>460</v>
      </c>
      <c r="C205" s="3" t="s">
        <v>11</v>
      </c>
      <c r="D205" s="3" t="s">
        <v>3</v>
      </c>
      <c r="E205" s="3" t="s">
        <v>4</v>
      </c>
      <c r="F205" s="3">
        <v>20.064</v>
      </c>
      <c r="G205" s="3">
        <v>27.331</v>
      </c>
      <c r="H205" s="3">
        <v>44816</v>
      </c>
      <c r="I205" s="3" t="s">
        <v>24</v>
      </c>
      <c r="J205" s="3" t="s">
        <v>6</v>
      </c>
      <c r="K205" s="3" t="s">
        <v>6</v>
      </c>
      <c r="L205" s="3"/>
      <c r="M205" s="3">
        <v>36514</v>
      </c>
      <c r="N205" s="3" t="s">
        <v>7</v>
      </c>
      <c r="O205" s="3" t="s">
        <v>8</v>
      </c>
      <c r="P205" s="3" t="s">
        <v>6</v>
      </c>
      <c r="Q205" s="3" t="s">
        <v>6</v>
      </c>
      <c r="R205" s="10">
        <v>45.776422089999997</v>
      </c>
      <c r="S205" s="10">
        <v>45.833832289999997</v>
      </c>
      <c r="T205" s="10">
        <v>12.05402129</v>
      </c>
      <c r="U205" s="10">
        <v>113.3</v>
      </c>
      <c r="V205" s="10">
        <v>160.9</v>
      </c>
      <c r="W205" s="10">
        <v>12.012903789999999</v>
      </c>
      <c r="X205">
        <v>0</v>
      </c>
      <c r="Y205" s="10">
        <f t="shared" si="6"/>
        <v>45.805127189999993</v>
      </c>
      <c r="Z205" s="10">
        <f t="shared" si="7"/>
        <v>12.033462539999999</v>
      </c>
    </row>
    <row r="206" spans="1:26" x14ac:dyDescent="0.2">
      <c r="A206" s="3" t="s">
        <v>461</v>
      </c>
      <c r="B206" s="3" t="s">
        <v>462</v>
      </c>
      <c r="C206" s="3" t="s">
        <v>11</v>
      </c>
      <c r="D206" s="3" t="s">
        <v>3</v>
      </c>
      <c r="E206" s="3" t="s">
        <v>4</v>
      </c>
      <c r="F206" s="3">
        <v>18.754000000000001</v>
      </c>
      <c r="G206" s="3">
        <v>28.372</v>
      </c>
      <c r="H206" s="3">
        <v>45149</v>
      </c>
      <c r="I206" s="3" t="s">
        <v>5</v>
      </c>
      <c r="J206" s="3" t="s">
        <v>6</v>
      </c>
      <c r="K206" s="3" t="s">
        <v>6</v>
      </c>
      <c r="L206" s="3"/>
      <c r="M206" s="3">
        <v>36514</v>
      </c>
      <c r="N206" s="3" t="s">
        <v>7</v>
      </c>
      <c r="O206" s="3" t="s">
        <v>8</v>
      </c>
      <c r="P206" s="3" t="s">
        <v>6</v>
      </c>
      <c r="Q206" s="3" t="s">
        <v>6</v>
      </c>
      <c r="R206" s="10">
        <v>45.708244989999997</v>
      </c>
      <c r="S206" s="10">
        <v>45.776422089999997</v>
      </c>
      <c r="T206" s="10">
        <v>11.99208769</v>
      </c>
      <c r="U206" s="10">
        <v>60.3</v>
      </c>
      <c r="V206" s="10">
        <v>113.3</v>
      </c>
      <c r="W206" s="10">
        <v>12.05402129</v>
      </c>
      <c r="X206">
        <v>0</v>
      </c>
      <c r="Y206" s="10">
        <f t="shared" si="6"/>
        <v>45.742333539999997</v>
      </c>
      <c r="Z206" s="10">
        <f t="shared" si="7"/>
        <v>12.02305449</v>
      </c>
    </row>
    <row r="207" spans="1:26" x14ac:dyDescent="0.2">
      <c r="A207" s="3" t="s">
        <v>463</v>
      </c>
      <c r="B207" s="3" t="s">
        <v>464</v>
      </c>
      <c r="C207" s="3" t="s">
        <v>11</v>
      </c>
      <c r="D207" s="3" t="s">
        <v>3</v>
      </c>
      <c r="E207" s="3" t="s">
        <v>4</v>
      </c>
      <c r="F207" s="3">
        <v>12.057</v>
      </c>
      <c r="G207" s="3">
        <v>18.754000000000001</v>
      </c>
      <c r="H207" s="3">
        <v>44595</v>
      </c>
      <c r="I207" s="3" t="s">
        <v>5</v>
      </c>
      <c r="J207" s="3" t="s">
        <v>6</v>
      </c>
      <c r="K207" s="3" t="s">
        <v>6</v>
      </c>
      <c r="L207" s="3"/>
      <c r="M207" s="3">
        <v>36514</v>
      </c>
      <c r="N207" s="3" t="s">
        <v>7</v>
      </c>
      <c r="O207" s="3" t="s">
        <v>8</v>
      </c>
      <c r="P207" s="3" t="s">
        <v>6</v>
      </c>
      <c r="Q207" s="3" t="s">
        <v>6</v>
      </c>
      <c r="R207" s="10">
        <v>45.666425490000002</v>
      </c>
      <c r="S207" s="10">
        <v>45.708244989999997</v>
      </c>
      <c r="T207" s="10">
        <v>11.93432819</v>
      </c>
      <c r="U207" s="10">
        <v>41</v>
      </c>
      <c r="V207" s="10">
        <v>60.3</v>
      </c>
      <c r="W207" s="10">
        <v>11.99208769</v>
      </c>
      <c r="X207">
        <v>0</v>
      </c>
      <c r="Y207" s="10">
        <f t="shared" si="6"/>
        <v>45.687335239999996</v>
      </c>
      <c r="Z207" s="10">
        <f t="shared" si="7"/>
        <v>11.96320794</v>
      </c>
    </row>
    <row r="208" spans="1:26" x14ac:dyDescent="0.2">
      <c r="A208" s="3" t="s">
        <v>465</v>
      </c>
      <c r="B208" s="3" t="s">
        <v>466</v>
      </c>
      <c r="C208" s="3" t="s">
        <v>11</v>
      </c>
      <c r="D208" s="3" t="s">
        <v>3</v>
      </c>
      <c r="E208" s="3" t="s">
        <v>4</v>
      </c>
      <c r="F208" s="3">
        <v>0</v>
      </c>
      <c r="G208" s="3">
        <v>12.057</v>
      </c>
      <c r="H208" s="3">
        <v>43107</v>
      </c>
      <c r="I208" s="3" t="s">
        <v>31</v>
      </c>
      <c r="J208" s="3" t="s">
        <v>6</v>
      </c>
      <c r="K208" s="3" t="s">
        <v>6</v>
      </c>
      <c r="L208" s="3">
        <v>39600</v>
      </c>
      <c r="M208" s="3">
        <v>36514</v>
      </c>
      <c r="N208" s="3" t="s">
        <v>7</v>
      </c>
      <c r="O208" s="3" t="s">
        <v>8</v>
      </c>
      <c r="P208" s="3" t="s">
        <v>6</v>
      </c>
      <c r="Q208" s="3" t="s">
        <v>6</v>
      </c>
      <c r="R208" s="10">
        <v>45.5689153</v>
      </c>
      <c r="S208" s="10">
        <v>45.666425490000002</v>
      </c>
      <c r="T208" s="10">
        <v>11.928300589999999</v>
      </c>
      <c r="U208" s="10">
        <v>25.7</v>
      </c>
      <c r="V208" s="10">
        <v>41</v>
      </c>
      <c r="W208" s="10">
        <v>11.93432819</v>
      </c>
      <c r="X208">
        <v>0</v>
      </c>
      <c r="Y208" s="10">
        <f t="shared" si="6"/>
        <v>45.617670395000005</v>
      </c>
      <c r="Z208" s="10">
        <f t="shared" si="7"/>
        <v>11.931314390000001</v>
      </c>
    </row>
    <row r="209" spans="1:26" x14ac:dyDescent="0.2">
      <c r="A209" s="3" t="s">
        <v>467</v>
      </c>
      <c r="B209" s="3" t="s">
        <v>468</v>
      </c>
      <c r="C209" s="3" t="s">
        <v>11</v>
      </c>
      <c r="D209" s="3" t="s">
        <v>3</v>
      </c>
      <c r="E209" s="3" t="s">
        <v>4</v>
      </c>
      <c r="F209" s="3">
        <v>29.114999999999998</v>
      </c>
      <c r="G209" s="3">
        <v>32.165999999999997</v>
      </c>
      <c r="H209" s="3">
        <v>43107</v>
      </c>
      <c r="I209" s="3" t="s">
        <v>31</v>
      </c>
      <c r="J209" s="3" t="s">
        <v>6</v>
      </c>
      <c r="K209" s="3" t="s">
        <v>6</v>
      </c>
      <c r="L209" s="3"/>
      <c r="M209" s="3">
        <v>36514</v>
      </c>
      <c r="N209" s="3" t="s">
        <v>7</v>
      </c>
      <c r="O209" s="3" t="s">
        <v>8</v>
      </c>
      <c r="P209" s="3" t="s">
        <v>6</v>
      </c>
      <c r="Q209" s="3" t="s">
        <v>6</v>
      </c>
      <c r="R209" s="10">
        <v>45.542527290000002</v>
      </c>
      <c r="S209" s="10">
        <v>45.5689153</v>
      </c>
      <c r="T209" s="10">
        <v>11.917470290000001</v>
      </c>
      <c r="U209" s="10">
        <v>23.1</v>
      </c>
      <c r="V209" s="10">
        <v>25.7</v>
      </c>
      <c r="W209" s="10">
        <v>11.928300589999999</v>
      </c>
      <c r="X209">
        <v>0</v>
      </c>
      <c r="Y209" s="10">
        <f t="shared" si="6"/>
        <v>45.555721294999998</v>
      </c>
      <c r="Z209" s="10">
        <f t="shared" si="7"/>
        <v>11.92288544</v>
      </c>
    </row>
    <row r="210" spans="1:26" x14ac:dyDescent="0.2">
      <c r="A210" s="3" t="s">
        <v>469</v>
      </c>
      <c r="B210" s="3" t="s">
        <v>470</v>
      </c>
      <c r="C210" s="3" t="s">
        <v>11</v>
      </c>
      <c r="D210" s="3" t="s">
        <v>3</v>
      </c>
      <c r="E210" s="3" t="s">
        <v>4</v>
      </c>
      <c r="F210" s="3">
        <v>32.165999999999997</v>
      </c>
      <c r="G210" s="3">
        <v>36.451000000000001</v>
      </c>
      <c r="H210" s="3">
        <v>43131</v>
      </c>
      <c r="I210" s="3" t="s">
        <v>31</v>
      </c>
      <c r="J210" s="3" t="s">
        <v>6</v>
      </c>
      <c r="K210" s="3" t="s">
        <v>6</v>
      </c>
      <c r="L210" s="3"/>
      <c r="M210" s="3">
        <v>36514</v>
      </c>
      <c r="N210" s="3" t="s">
        <v>7</v>
      </c>
      <c r="O210" s="3" t="s">
        <v>8</v>
      </c>
      <c r="P210" s="3" t="s">
        <v>6</v>
      </c>
      <c r="Q210" s="3" t="s">
        <v>6</v>
      </c>
      <c r="R210" s="10">
        <v>45.505712889999998</v>
      </c>
      <c r="S210" s="10">
        <v>45.542527290000002</v>
      </c>
      <c r="T210" s="10">
        <v>11.900902690000001</v>
      </c>
      <c r="U210" s="10">
        <v>19</v>
      </c>
      <c r="V210" s="10">
        <v>23.1</v>
      </c>
      <c r="W210" s="10">
        <v>11.917470290000001</v>
      </c>
      <c r="X210">
        <v>0</v>
      </c>
      <c r="Y210" s="10">
        <f t="shared" si="6"/>
        <v>45.524120089999997</v>
      </c>
      <c r="Z210" s="10">
        <f t="shared" si="7"/>
        <v>11.90918649</v>
      </c>
    </row>
    <row r="211" spans="1:26" x14ac:dyDescent="0.2">
      <c r="A211" s="3" t="s">
        <v>471</v>
      </c>
      <c r="B211" s="3" t="s">
        <v>472</v>
      </c>
      <c r="C211" s="3" t="s">
        <v>11</v>
      </c>
      <c r="D211" s="3" t="s">
        <v>3</v>
      </c>
      <c r="E211" s="3" t="s">
        <v>4</v>
      </c>
      <c r="F211" s="3">
        <v>36.451000000000001</v>
      </c>
      <c r="G211" s="3">
        <v>42.341999999999999</v>
      </c>
      <c r="H211" s="3">
        <v>43131</v>
      </c>
      <c r="I211" s="3" t="s">
        <v>31</v>
      </c>
      <c r="J211" s="3" t="s">
        <v>6</v>
      </c>
      <c r="K211" s="3" t="s">
        <v>6</v>
      </c>
      <c r="L211" s="3"/>
      <c r="M211" s="3">
        <v>36514</v>
      </c>
      <c r="N211" s="3" t="s">
        <v>7</v>
      </c>
      <c r="O211" s="3" t="s">
        <v>8</v>
      </c>
      <c r="P211" s="3" t="s">
        <v>6</v>
      </c>
      <c r="Q211" s="3" t="s">
        <v>6</v>
      </c>
      <c r="R211" s="10">
        <v>45.453283489999997</v>
      </c>
      <c r="S211" s="10">
        <v>45.505712889999998</v>
      </c>
      <c r="T211" s="10">
        <v>11.891642989999999</v>
      </c>
      <c r="U211" s="10">
        <v>16.600000000000001</v>
      </c>
      <c r="V211" s="10">
        <v>19</v>
      </c>
      <c r="W211" s="10">
        <v>11.900902690000001</v>
      </c>
      <c r="X211">
        <v>0</v>
      </c>
      <c r="Y211" s="10">
        <f t="shared" si="6"/>
        <v>45.479498190000001</v>
      </c>
      <c r="Z211" s="10">
        <f t="shared" si="7"/>
        <v>11.89627284</v>
      </c>
    </row>
    <row r="212" spans="1:26" x14ac:dyDescent="0.2">
      <c r="A212" s="3" t="s">
        <v>473</v>
      </c>
      <c r="B212" s="3" t="s">
        <v>474</v>
      </c>
      <c r="C212" s="3" t="s">
        <v>2</v>
      </c>
      <c r="D212" s="3" t="s">
        <v>3</v>
      </c>
      <c r="E212" s="3" t="s">
        <v>4</v>
      </c>
      <c r="F212" s="3">
        <v>42.341999999999999</v>
      </c>
      <c r="G212" s="3">
        <v>45.655000000000001</v>
      </c>
      <c r="H212" s="3">
        <v>43131</v>
      </c>
      <c r="I212" s="3" t="s">
        <v>31</v>
      </c>
      <c r="J212" s="3" t="s">
        <v>6</v>
      </c>
      <c r="K212" s="3" t="s">
        <v>6</v>
      </c>
      <c r="L212" s="3">
        <v>39411</v>
      </c>
      <c r="M212" s="3">
        <v>36514</v>
      </c>
      <c r="N212" s="3" t="s">
        <v>7</v>
      </c>
      <c r="O212" s="3" t="s">
        <v>8</v>
      </c>
      <c r="P212" s="3" t="s">
        <v>6</v>
      </c>
      <c r="Q212" s="3" t="s">
        <v>6</v>
      </c>
      <c r="R212" s="10">
        <v>45.427068990000002</v>
      </c>
      <c r="S212" s="10">
        <v>45.453283489999997</v>
      </c>
      <c r="T212" s="10">
        <v>11.872274089999999</v>
      </c>
      <c r="U212" s="10">
        <v>12.1</v>
      </c>
      <c r="V212" s="10">
        <v>16.600000000000001</v>
      </c>
      <c r="W212" s="10">
        <v>11.891642989999999</v>
      </c>
      <c r="X212">
        <v>0</v>
      </c>
      <c r="Y212" s="10">
        <f t="shared" si="6"/>
        <v>45.44017624</v>
      </c>
      <c r="Z212" s="10">
        <f t="shared" si="7"/>
        <v>11.881958539999999</v>
      </c>
    </row>
    <row r="213" spans="1:26" x14ac:dyDescent="0.2">
      <c r="A213" s="3" t="s">
        <v>475</v>
      </c>
      <c r="B213" s="3" t="s">
        <v>476</v>
      </c>
      <c r="C213" s="3" t="s">
        <v>2</v>
      </c>
      <c r="D213" s="3" t="s">
        <v>3</v>
      </c>
      <c r="E213" s="3" t="s">
        <v>4</v>
      </c>
      <c r="F213" s="3">
        <v>45.655000000000001</v>
      </c>
      <c r="G213" s="3">
        <v>47.293999999999997</v>
      </c>
      <c r="H213" s="3">
        <v>45261</v>
      </c>
      <c r="I213" s="3" t="s">
        <v>5</v>
      </c>
      <c r="J213" s="3" t="s">
        <v>6</v>
      </c>
      <c r="K213" s="3" t="s">
        <v>6</v>
      </c>
      <c r="L213" s="3">
        <v>39411</v>
      </c>
      <c r="M213" s="3">
        <v>36514</v>
      </c>
      <c r="N213" s="3" t="s">
        <v>7</v>
      </c>
      <c r="O213" s="3" t="s">
        <v>8</v>
      </c>
      <c r="P213" s="3" t="s">
        <v>6</v>
      </c>
      <c r="Q213" s="3" t="s">
        <v>6</v>
      </c>
      <c r="R213" s="10">
        <v>45.417843490000003</v>
      </c>
      <c r="S213" s="10">
        <v>45.427068990000002</v>
      </c>
      <c r="T213" s="10">
        <v>11.88079739</v>
      </c>
      <c r="U213" s="10">
        <v>10.4</v>
      </c>
      <c r="V213" s="10">
        <v>12.1</v>
      </c>
      <c r="W213" s="10">
        <v>11.872274089999999</v>
      </c>
      <c r="X213">
        <v>0</v>
      </c>
      <c r="Y213" s="10">
        <f t="shared" si="6"/>
        <v>45.422456240000002</v>
      </c>
      <c r="Z213" s="10">
        <f t="shared" si="7"/>
        <v>11.87653574</v>
      </c>
    </row>
    <row r="214" spans="1:26" x14ac:dyDescent="0.2">
      <c r="A214" s="3" t="s">
        <v>477</v>
      </c>
      <c r="B214" s="3" t="s">
        <v>478</v>
      </c>
      <c r="C214" s="3" t="s">
        <v>2</v>
      </c>
      <c r="D214" s="3" t="s">
        <v>3</v>
      </c>
      <c r="E214" s="3" t="s">
        <v>4</v>
      </c>
      <c r="F214" s="3">
        <v>0</v>
      </c>
      <c r="G214" s="3">
        <v>2.44</v>
      </c>
      <c r="H214" s="3">
        <v>43107</v>
      </c>
      <c r="I214" s="3" t="s">
        <v>31</v>
      </c>
      <c r="J214" s="3" t="s">
        <v>6</v>
      </c>
      <c r="K214" s="3" t="s">
        <v>6</v>
      </c>
      <c r="L214" s="3">
        <v>39831</v>
      </c>
      <c r="M214" s="3">
        <v>36514</v>
      </c>
      <c r="N214" s="3" t="s">
        <v>7</v>
      </c>
      <c r="O214" s="3" t="s">
        <v>8</v>
      </c>
      <c r="P214" s="3" t="s">
        <v>6</v>
      </c>
      <c r="Q214" s="3" t="s">
        <v>6</v>
      </c>
      <c r="R214" s="10">
        <v>45.407755090000002</v>
      </c>
      <c r="S214" s="10">
        <v>45.427068990000002</v>
      </c>
      <c r="T214" s="10">
        <v>11.85264349</v>
      </c>
      <c r="U214" s="10">
        <v>13.8</v>
      </c>
      <c r="V214" s="10">
        <v>12.1</v>
      </c>
      <c r="W214" s="10">
        <v>11.872274089999999</v>
      </c>
      <c r="X214">
        <v>0</v>
      </c>
      <c r="Y214" s="10">
        <f t="shared" si="6"/>
        <v>45.417412040000002</v>
      </c>
      <c r="Z214" s="10">
        <f t="shared" si="7"/>
        <v>11.86245879</v>
      </c>
    </row>
    <row r="215" spans="1:26" x14ac:dyDescent="0.2">
      <c r="A215" s="3" t="s">
        <v>479</v>
      </c>
      <c r="B215" s="3" t="s">
        <v>480</v>
      </c>
      <c r="C215" s="3" t="s">
        <v>11</v>
      </c>
      <c r="D215" s="3" t="s">
        <v>3</v>
      </c>
      <c r="E215" s="3" t="s">
        <v>4</v>
      </c>
      <c r="F215" s="3">
        <v>15.092000000000001</v>
      </c>
      <c r="G215" s="3">
        <v>20.064</v>
      </c>
      <c r="H215" s="3">
        <v>45554</v>
      </c>
      <c r="I215" s="3" t="s">
        <v>5</v>
      </c>
      <c r="J215" s="3" t="s">
        <v>6</v>
      </c>
      <c r="K215" s="3" t="s">
        <v>6</v>
      </c>
      <c r="L215" s="3"/>
      <c r="M215" s="3">
        <v>36514</v>
      </c>
      <c r="N215" s="3" t="s">
        <v>7</v>
      </c>
      <c r="O215" s="3" t="s">
        <v>8</v>
      </c>
      <c r="P215" s="3" t="s">
        <v>6</v>
      </c>
      <c r="Q215" s="3" t="s">
        <v>6</v>
      </c>
      <c r="R215" s="10">
        <v>45.747876589999997</v>
      </c>
      <c r="S215" s="10">
        <v>45.776422089999997</v>
      </c>
      <c r="T215" s="10">
        <v>12.10314039</v>
      </c>
      <c r="U215" s="10">
        <v>80.8</v>
      </c>
      <c r="V215" s="10">
        <v>113.3</v>
      </c>
      <c r="W215" s="10">
        <v>12.05402129</v>
      </c>
      <c r="X215">
        <v>0</v>
      </c>
      <c r="Y215" s="10">
        <f t="shared" si="6"/>
        <v>45.762149339999993</v>
      </c>
      <c r="Z215" s="10">
        <f t="shared" si="7"/>
        <v>12.078580840000001</v>
      </c>
    </row>
    <row r="216" spans="1:26" x14ac:dyDescent="0.2">
      <c r="A216" s="3" t="s">
        <v>481</v>
      </c>
      <c r="B216" s="3" t="s">
        <v>482</v>
      </c>
      <c r="C216" s="3" t="s">
        <v>11</v>
      </c>
      <c r="D216" s="3" t="s">
        <v>3</v>
      </c>
      <c r="E216" s="3" t="s">
        <v>4</v>
      </c>
      <c r="F216" s="3">
        <v>10.09</v>
      </c>
      <c r="G216" s="3">
        <v>15.092000000000001</v>
      </c>
      <c r="H216" s="3">
        <v>45541</v>
      </c>
      <c r="I216" s="3" t="s">
        <v>24</v>
      </c>
      <c r="J216" s="3" t="s">
        <v>6</v>
      </c>
      <c r="K216" s="3" t="s">
        <v>6</v>
      </c>
      <c r="L216" s="3"/>
      <c r="M216" s="3">
        <v>36514</v>
      </c>
      <c r="N216" s="3" t="s">
        <v>7</v>
      </c>
      <c r="O216" s="3" t="s">
        <v>8</v>
      </c>
      <c r="P216" s="3" t="s">
        <v>6</v>
      </c>
      <c r="Q216" s="3" t="s">
        <v>6</v>
      </c>
      <c r="R216" s="10">
        <v>45.71584919</v>
      </c>
      <c r="S216" s="10">
        <v>45.747876589999997</v>
      </c>
      <c r="T216" s="10">
        <v>12.14826339</v>
      </c>
      <c r="U216" s="10">
        <v>53.2</v>
      </c>
      <c r="V216" s="10">
        <v>80.8</v>
      </c>
      <c r="W216" s="10">
        <v>12.10314039</v>
      </c>
      <c r="X216">
        <v>0</v>
      </c>
      <c r="Y216" s="10">
        <f t="shared" si="6"/>
        <v>45.731862890000002</v>
      </c>
      <c r="Z216" s="10">
        <f t="shared" si="7"/>
        <v>12.12570189</v>
      </c>
    </row>
    <row r="217" spans="1:26" x14ac:dyDescent="0.2">
      <c r="A217" s="3" t="s">
        <v>483</v>
      </c>
      <c r="B217" s="3" t="s">
        <v>484</v>
      </c>
      <c r="C217" s="3" t="s">
        <v>11</v>
      </c>
      <c r="D217" s="3" t="s">
        <v>3</v>
      </c>
      <c r="E217" s="3" t="s">
        <v>4</v>
      </c>
      <c r="F217" s="3">
        <v>6.2530000000000001</v>
      </c>
      <c r="G217" s="3">
        <v>10.09</v>
      </c>
      <c r="H217" s="3">
        <v>45554</v>
      </c>
      <c r="I217" s="3" t="s">
        <v>5</v>
      </c>
      <c r="J217" s="3" t="s">
        <v>6</v>
      </c>
      <c r="K217" s="3" t="s">
        <v>6</v>
      </c>
      <c r="L217" s="3"/>
      <c r="M217" s="3">
        <v>36514</v>
      </c>
      <c r="N217" s="3" t="s">
        <v>7</v>
      </c>
      <c r="O217" s="3" t="s">
        <v>8</v>
      </c>
      <c r="P217" s="3" t="s">
        <v>6</v>
      </c>
      <c r="Q217" s="3" t="s">
        <v>6</v>
      </c>
      <c r="R217" s="10">
        <v>45.690990790000001</v>
      </c>
      <c r="S217" s="10">
        <v>45.71584919</v>
      </c>
      <c r="T217" s="10">
        <v>12.18288059</v>
      </c>
      <c r="U217" s="10">
        <v>32.799999999999997</v>
      </c>
      <c r="V217" s="10">
        <v>53.2</v>
      </c>
      <c r="W217" s="10">
        <v>12.14826339</v>
      </c>
      <c r="X217">
        <v>0</v>
      </c>
      <c r="Y217" s="10">
        <f t="shared" si="6"/>
        <v>45.70341999</v>
      </c>
      <c r="Z217" s="10">
        <f t="shared" si="7"/>
        <v>12.16557199</v>
      </c>
    </row>
    <row r="218" spans="1:26" x14ac:dyDescent="0.2">
      <c r="A218" s="3" t="s">
        <v>485</v>
      </c>
      <c r="B218" s="3" t="s">
        <v>486</v>
      </c>
      <c r="C218" s="3" t="s">
        <v>11</v>
      </c>
      <c r="D218" s="3" t="s">
        <v>3</v>
      </c>
      <c r="E218" s="3" t="s">
        <v>4</v>
      </c>
      <c r="F218" s="3">
        <v>0</v>
      </c>
      <c r="G218" s="3">
        <v>6.2530000000000001</v>
      </c>
      <c r="H218" s="3">
        <v>45554</v>
      </c>
      <c r="I218" s="3" t="s">
        <v>5</v>
      </c>
      <c r="J218" s="3" t="s">
        <v>6</v>
      </c>
      <c r="K218" s="3" t="s">
        <v>6</v>
      </c>
      <c r="L218" s="3"/>
      <c r="M218" s="3">
        <v>36514</v>
      </c>
      <c r="N218" s="3" t="s">
        <v>7</v>
      </c>
      <c r="O218" s="3" t="s">
        <v>8</v>
      </c>
      <c r="P218" s="3" t="s">
        <v>6</v>
      </c>
      <c r="Q218" s="3" t="s">
        <v>6</v>
      </c>
      <c r="R218" s="10">
        <v>45.659600990000001</v>
      </c>
      <c r="S218" s="10">
        <v>45.690990790000001</v>
      </c>
      <c r="T218" s="10">
        <v>12.24615039</v>
      </c>
      <c r="U218" s="10">
        <v>18.600000000000001</v>
      </c>
      <c r="V218" s="10">
        <v>32.799999999999997</v>
      </c>
      <c r="W218" s="10">
        <v>12.18288059</v>
      </c>
      <c r="X218">
        <v>0</v>
      </c>
      <c r="Y218" s="10">
        <f t="shared" si="6"/>
        <v>45.675295890000001</v>
      </c>
      <c r="Z218" s="10">
        <f t="shared" si="7"/>
        <v>12.21451549</v>
      </c>
    </row>
    <row r="219" spans="1:26" x14ac:dyDescent="0.2">
      <c r="A219" s="3" t="s">
        <v>487</v>
      </c>
      <c r="B219" s="3" t="s">
        <v>488</v>
      </c>
      <c r="C219" s="3" t="s">
        <v>11</v>
      </c>
      <c r="D219" s="3" t="s">
        <v>3</v>
      </c>
      <c r="E219" s="3" t="s">
        <v>4</v>
      </c>
      <c r="F219" s="3">
        <v>27.367000000000001</v>
      </c>
      <c r="G219" s="3">
        <v>32.628999999999998</v>
      </c>
      <c r="H219" s="3">
        <v>44707</v>
      </c>
      <c r="I219" s="3" t="s">
        <v>31</v>
      </c>
      <c r="J219" s="3" t="s">
        <v>6</v>
      </c>
      <c r="K219" s="3" t="s">
        <v>6</v>
      </c>
      <c r="L219" s="3"/>
      <c r="M219" s="3">
        <v>36514</v>
      </c>
      <c r="N219" s="3" t="s">
        <v>7</v>
      </c>
      <c r="O219" s="3" t="s">
        <v>8</v>
      </c>
      <c r="P219" s="3" t="s">
        <v>6</v>
      </c>
      <c r="Q219" s="3" t="s">
        <v>6</v>
      </c>
      <c r="R219" s="10">
        <v>46.094893890000002</v>
      </c>
      <c r="S219" s="10">
        <v>46.138038790000003</v>
      </c>
      <c r="T219" s="10">
        <v>12.323902289999999</v>
      </c>
      <c r="U219" s="10">
        <v>466.2</v>
      </c>
      <c r="V219" s="10">
        <v>394.2</v>
      </c>
      <c r="W219" s="10">
        <v>12.316067800000001</v>
      </c>
      <c r="X219">
        <v>0</v>
      </c>
      <c r="Y219" s="10">
        <f t="shared" si="6"/>
        <v>46.116466340000002</v>
      </c>
      <c r="Z219" s="10">
        <f t="shared" si="7"/>
        <v>12.319985044999999</v>
      </c>
    </row>
    <row r="220" spans="1:26" x14ac:dyDescent="0.2">
      <c r="A220" s="3" t="s">
        <v>489</v>
      </c>
      <c r="B220" s="3" t="s">
        <v>490</v>
      </c>
      <c r="C220" s="3" t="s">
        <v>11</v>
      </c>
      <c r="D220" s="3" t="s">
        <v>3</v>
      </c>
      <c r="E220" s="3" t="s">
        <v>4</v>
      </c>
      <c r="F220" s="3">
        <v>12.071</v>
      </c>
      <c r="G220" s="3">
        <v>13.56</v>
      </c>
      <c r="H220" s="3">
        <v>44705</v>
      </c>
      <c r="I220" s="3" t="s">
        <v>31</v>
      </c>
      <c r="J220" s="3" t="s">
        <v>6</v>
      </c>
      <c r="K220" s="3" t="s">
        <v>6</v>
      </c>
      <c r="L220" s="3"/>
      <c r="M220" s="3">
        <v>36514</v>
      </c>
      <c r="N220" s="3" t="s">
        <v>7</v>
      </c>
      <c r="O220" s="3" t="s">
        <v>8</v>
      </c>
      <c r="P220" s="3" t="s">
        <v>6</v>
      </c>
      <c r="Q220" s="3" t="s">
        <v>6</v>
      </c>
      <c r="R220" s="10">
        <v>45.976833390000003</v>
      </c>
      <c r="S220" s="10">
        <v>45.989936299999997</v>
      </c>
      <c r="T220" s="10">
        <v>12.29884959</v>
      </c>
      <c r="U220" s="10">
        <v>132.4</v>
      </c>
      <c r="V220" s="10">
        <v>144.6</v>
      </c>
      <c r="W220" s="10">
        <v>12.2932899</v>
      </c>
      <c r="X220">
        <v>0</v>
      </c>
      <c r="Y220" s="10">
        <f t="shared" si="6"/>
        <v>45.983384845000003</v>
      </c>
      <c r="Z220" s="10">
        <f t="shared" si="7"/>
        <v>12.296069745</v>
      </c>
    </row>
    <row r="221" spans="1:26" x14ac:dyDescent="0.2">
      <c r="A221" s="3" t="s">
        <v>491</v>
      </c>
      <c r="B221" s="3" t="s">
        <v>492</v>
      </c>
      <c r="C221" s="3" t="s">
        <v>11</v>
      </c>
      <c r="D221" s="3" t="s">
        <v>3</v>
      </c>
      <c r="E221" s="3" t="s">
        <v>4</v>
      </c>
      <c r="F221" s="3">
        <v>7.492</v>
      </c>
      <c r="G221" s="3">
        <v>13.194000000000001</v>
      </c>
      <c r="H221" s="3">
        <v>44111</v>
      </c>
      <c r="I221" s="3" t="s">
        <v>12</v>
      </c>
      <c r="J221" s="3" t="s">
        <v>6</v>
      </c>
      <c r="K221" s="3" t="s">
        <v>6</v>
      </c>
      <c r="L221" s="3"/>
      <c r="M221" s="3">
        <v>36514</v>
      </c>
      <c r="N221" s="3" t="s">
        <v>7</v>
      </c>
      <c r="O221" s="3" t="s">
        <v>8</v>
      </c>
      <c r="P221" s="3" t="s">
        <v>6</v>
      </c>
      <c r="Q221" s="3" t="s">
        <v>6</v>
      </c>
      <c r="R221" s="10">
        <v>45.605027290000002</v>
      </c>
      <c r="S221" s="10">
        <v>45.578571490000002</v>
      </c>
      <c r="T221" s="10">
        <v>11.673173390000001</v>
      </c>
      <c r="U221" s="10">
        <v>42.7</v>
      </c>
      <c r="V221" s="10">
        <v>37.700000000000003</v>
      </c>
      <c r="W221" s="10">
        <v>11.61071289</v>
      </c>
      <c r="X221">
        <v>0</v>
      </c>
      <c r="Y221" s="10">
        <f t="shared" si="6"/>
        <v>45.591799390000006</v>
      </c>
      <c r="Z221" s="10">
        <f t="shared" si="7"/>
        <v>11.64194314</v>
      </c>
    </row>
    <row r="222" spans="1:26" x14ac:dyDescent="0.2">
      <c r="A222" s="3" t="s">
        <v>493</v>
      </c>
      <c r="B222" s="3" t="s">
        <v>494</v>
      </c>
      <c r="C222" s="3" t="s">
        <v>11</v>
      </c>
      <c r="D222" s="3" t="s">
        <v>3</v>
      </c>
      <c r="E222" s="3" t="s">
        <v>4</v>
      </c>
      <c r="F222" s="3">
        <v>19.962</v>
      </c>
      <c r="G222" s="3">
        <v>23.666</v>
      </c>
      <c r="H222" s="3">
        <v>44111</v>
      </c>
      <c r="I222" s="3" t="s">
        <v>12</v>
      </c>
      <c r="J222" s="3" t="s">
        <v>6</v>
      </c>
      <c r="K222" s="3" t="s">
        <v>6</v>
      </c>
      <c r="L222" s="3"/>
      <c r="M222" s="3">
        <v>36514</v>
      </c>
      <c r="N222" s="3" t="s">
        <v>7</v>
      </c>
      <c r="O222" s="3" t="s">
        <v>8</v>
      </c>
      <c r="P222" s="3" t="s">
        <v>6</v>
      </c>
      <c r="Q222" s="3" t="s">
        <v>6</v>
      </c>
      <c r="R222" s="10">
        <v>45.643860400000001</v>
      </c>
      <c r="S222" s="10">
        <v>45.634713589999997</v>
      </c>
      <c r="T222" s="10">
        <v>11.7898762</v>
      </c>
      <c r="U222" s="10">
        <v>49.4</v>
      </c>
      <c r="V222" s="10">
        <v>44.1</v>
      </c>
      <c r="W222" s="10">
        <v>11.749049189999999</v>
      </c>
      <c r="X222">
        <v>0</v>
      </c>
      <c r="Y222" s="10">
        <f t="shared" si="6"/>
        <v>45.639286994999999</v>
      </c>
      <c r="Z222" s="10">
        <f t="shared" si="7"/>
        <v>11.769462695</v>
      </c>
    </row>
    <row r="223" spans="1:26" x14ac:dyDescent="0.2">
      <c r="A223" s="3" t="s">
        <v>495</v>
      </c>
      <c r="B223" s="3" t="s">
        <v>496</v>
      </c>
      <c r="C223" s="3" t="s">
        <v>11</v>
      </c>
      <c r="D223" s="3" t="s">
        <v>3</v>
      </c>
      <c r="E223" s="3" t="s">
        <v>4</v>
      </c>
      <c r="F223" s="3">
        <v>23.666</v>
      </c>
      <c r="G223" s="3">
        <v>27.132999999999999</v>
      </c>
      <c r="H223" s="3">
        <v>44111</v>
      </c>
      <c r="I223" s="3" t="s">
        <v>12</v>
      </c>
      <c r="J223" s="3" t="s">
        <v>6</v>
      </c>
      <c r="K223" s="3" t="s">
        <v>6</v>
      </c>
      <c r="L223" s="3">
        <v>38333</v>
      </c>
      <c r="M223" s="3">
        <v>36514</v>
      </c>
      <c r="N223" s="3" t="s">
        <v>7</v>
      </c>
      <c r="O223" s="3" t="s">
        <v>8</v>
      </c>
      <c r="P223" s="3" t="s">
        <v>6</v>
      </c>
      <c r="Q223" s="3" t="s">
        <v>6</v>
      </c>
      <c r="R223" s="10">
        <v>45.652890290000002</v>
      </c>
      <c r="S223" s="10">
        <v>45.643860400000001</v>
      </c>
      <c r="T223" s="10">
        <v>11.82808479</v>
      </c>
      <c r="U223" s="10">
        <v>46.5</v>
      </c>
      <c r="V223" s="10">
        <v>49.4</v>
      </c>
      <c r="W223" s="10">
        <v>11.7898762</v>
      </c>
      <c r="X223">
        <v>0</v>
      </c>
      <c r="Y223" s="10">
        <f t="shared" si="6"/>
        <v>45.648375345000005</v>
      </c>
      <c r="Z223" s="10">
        <f t="shared" si="7"/>
        <v>11.808980495</v>
      </c>
    </row>
    <row r="224" spans="1:26" x14ac:dyDescent="0.2">
      <c r="A224" s="3" t="s">
        <v>497</v>
      </c>
      <c r="B224" s="3" t="s">
        <v>498</v>
      </c>
      <c r="C224" s="3" t="s">
        <v>11</v>
      </c>
      <c r="D224" s="3" t="s">
        <v>3</v>
      </c>
      <c r="E224" s="3" t="s">
        <v>4</v>
      </c>
      <c r="F224" s="3">
        <v>27.132999999999999</v>
      </c>
      <c r="G224" s="3">
        <v>29.433</v>
      </c>
      <c r="H224" s="3">
        <v>44111</v>
      </c>
      <c r="I224" s="3" t="s">
        <v>12</v>
      </c>
      <c r="J224" s="3" t="s">
        <v>6</v>
      </c>
      <c r="K224" s="3" t="s">
        <v>6</v>
      </c>
      <c r="L224" s="3">
        <v>38333</v>
      </c>
      <c r="M224" s="3">
        <v>36514</v>
      </c>
      <c r="N224" s="3" t="s">
        <v>7</v>
      </c>
      <c r="O224" s="3" t="s">
        <v>8</v>
      </c>
      <c r="P224" s="3" t="s">
        <v>6</v>
      </c>
      <c r="Q224" s="3" t="s">
        <v>6</v>
      </c>
      <c r="R224" s="10">
        <v>45.655917389999999</v>
      </c>
      <c r="S224" s="10">
        <v>45.652890290000002</v>
      </c>
      <c r="T224" s="10">
        <v>11.85723819</v>
      </c>
      <c r="U224" s="10">
        <v>44</v>
      </c>
      <c r="V224" s="10">
        <v>46.5</v>
      </c>
      <c r="W224" s="10">
        <v>11.82808479</v>
      </c>
      <c r="X224">
        <v>0</v>
      </c>
      <c r="Y224" s="10">
        <f t="shared" si="6"/>
        <v>45.654403840000001</v>
      </c>
      <c r="Z224" s="10">
        <f t="shared" si="7"/>
        <v>11.842661490000001</v>
      </c>
    </row>
    <row r="225" spans="1:26" x14ac:dyDescent="0.2">
      <c r="A225" s="3" t="s">
        <v>499</v>
      </c>
      <c r="B225" s="3" t="s">
        <v>500</v>
      </c>
      <c r="C225" s="3" t="s">
        <v>11</v>
      </c>
      <c r="D225" s="3" t="s">
        <v>3</v>
      </c>
      <c r="E225" s="3" t="s">
        <v>4</v>
      </c>
      <c r="F225" s="3">
        <v>29.433</v>
      </c>
      <c r="G225" s="3">
        <v>35.530999999999999</v>
      </c>
      <c r="H225" s="3">
        <v>44111</v>
      </c>
      <c r="I225" s="3" t="s">
        <v>12</v>
      </c>
      <c r="J225" s="3" t="s">
        <v>6</v>
      </c>
      <c r="K225" s="3" t="s">
        <v>6</v>
      </c>
      <c r="L225" s="3">
        <v>38333</v>
      </c>
      <c r="M225" s="3">
        <v>36514</v>
      </c>
      <c r="N225" s="3" t="s">
        <v>7</v>
      </c>
      <c r="O225" s="3" t="s">
        <v>8</v>
      </c>
      <c r="P225" s="3" t="s">
        <v>6</v>
      </c>
      <c r="Q225" s="3" t="s">
        <v>6</v>
      </c>
      <c r="R225" s="10">
        <v>45.666425490000002</v>
      </c>
      <c r="S225" s="10">
        <v>45.655917389999999</v>
      </c>
      <c r="T225" s="10">
        <v>11.93432819</v>
      </c>
      <c r="U225" s="10">
        <v>41</v>
      </c>
      <c r="V225" s="10">
        <v>44</v>
      </c>
      <c r="W225" s="10">
        <v>11.85723819</v>
      </c>
      <c r="X225">
        <v>0</v>
      </c>
      <c r="Y225" s="10">
        <f t="shared" si="6"/>
        <v>45.661171440000004</v>
      </c>
      <c r="Z225" s="10">
        <f t="shared" si="7"/>
        <v>11.89578319</v>
      </c>
    </row>
    <row r="226" spans="1:26" x14ac:dyDescent="0.2">
      <c r="A226" s="3" t="s">
        <v>501</v>
      </c>
      <c r="B226" s="3" t="s">
        <v>502</v>
      </c>
      <c r="C226" s="3" t="s">
        <v>11</v>
      </c>
      <c r="D226" s="3" t="s">
        <v>3</v>
      </c>
      <c r="E226" s="3" t="s">
        <v>4</v>
      </c>
      <c r="F226" s="3">
        <v>35.530999999999999</v>
      </c>
      <c r="G226" s="3">
        <v>41.808</v>
      </c>
      <c r="H226" s="3">
        <v>43131</v>
      </c>
      <c r="I226" s="3" t="s">
        <v>31</v>
      </c>
      <c r="J226" s="3" t="s">
        <v>6</v>
      </c>
      <c r="K226" s="3" t="s">
        <v>6</v>
      </c>
      <c r="L226" s="3"/>
      <c r="M226" s="3">
        <v>36514</v>
      </c>
      <c r="N226" s="3" t="s">
        <v>7</v>
      </c>
      <c r="O226" s="3" t="s">
        <v>8</v>
      </c>
      <c r="P226" s="3" t="s">
        <v>6</v>
      </c>
      <c r="Q226" s="3" t="s">
        <v>6</v>
      </c>
      <c r="R226" s="10">
        <v>45.670255490000002</v>
      </c>
      <c r="S226" s="10">
        <v>45.666425490000002</v>
      </c>
      <c r="T226" s="10">
        <v>12.0151162</v>
      </c>
      <c r="U226" s="10">
        <v>35.4</v>
      </c>
      <c r="V226" s="10">
        <v>41</v>
      </c>
      <c r="W226" s="10">
        <v>11.93432819</v>
      </c>
      <c r="X226">
        <v>0</v>
      </c>
      <c r="Y226" s="10">
        <f t="shared" si="6"/>
        <v>45.668340490000006</v>
      </c>
      <c r="Z226" s="10">
        <f t="shared" si="7"/>
        <v>11.974722195</v>
      </c>
    </row>
    <row r="227" spans="1:26" x14ac:dyDescent="0.2">
      <c r="A227" s="3" t="s">
        <v>503</v>
      </c>
      <c r="B227" s="3" t="s">
        <v>504</v>
      </c>
      <c r="C227" s="3" t="s">
        <v>11</v>
      </c>
      <c r="D227" s="3" t="s">
        <v>3</v>
      </c>
      <c r="E227" s="3" t="s">
        <v>4</v>
      </c>
      <c r="F227" s="3">
        <v>41.808</v>
      </c>
      <c r="G227" s="3">
        <v>48.734000000000002</v>
      </c>
      <c r="H227" s="3">
        <v>44111</v>
      </c>
      <c r="I227" s="3" t="s">
        <v>12</v>
      </c>
      <c r="J227" s="3" t="s">
        <v>6</v>
      </c>
      <c r="K227" s="3" t="s">
        <v>6</v>
      </c>
      <c r="L227" s="3"/>
      <c r="M227" s="3">
        <v>36514</v>
      </c>
      <c r="N227" s="3" t="s">
        <v>7</v>
      </c>
      <c r="O227" s="3" t="s">
        <v>8</v>
      </c>
      <c r="P227" s="3" t="s">
        <v>6</v>
      </c>
      <c r="Q227" s="3" t="s">
        <v>6</v>
      </c>
      <c r="R227" s="10">
        <v>45.676526590000002</v>
      </c>
      <c r="S227" s="10">
        <v>45.670255490000002</v>
      </c>
      <c r="T227" s="10">
        <v>12.102797389999999</v>
      </c>
      <c r="U227" s="10">
        <v>37.5</v>
      </c>
      <c r="V227" s="10">
        <v>35.4</v>
      </c>
      <c r="W227" s="10">
        <v>12.0151162</v>
      </c>
      <c r="X227">
        <v>0</v>
      </c>
      <c r="Y227" s="10">
        <f t="shared" si="6"/>
        <v>45.673391039999998</v>
      </c>
      <c r="Z227" s="10">
        <f t="shared" si="7"/>
        <v>12.058956795</v>
      </c>
    </row>
    <row r="228" spans="1:26" x14ac:dyDescent="0.2">
      <c r="A228" s="3" t="s">
        <v>505</v>
      </c>
      <c r="B228" s="3" t="s">
        <v>506</v>
      </c>
      <c r="C228" s="3" t="s">
        <v>11</v>
      </c>
      <c r="D228" s="3" t="s">
        <v>3</v>
      </c>
      <c r="E228" s="3" t="s">
        <v>4</v>
      </c>
      <c r="F228" s="3">
        <v>48.734000000000002</v>
      </c>
      <c r="G228" s="3">
        <v>53.387999999999998</v>
      </c>
      <c r="H228" s="3">
        <v>43131</v>
      </c>
      <c r="I228" s="3" t="s">
        <v>31</v>
      </c>
      <c r="J228" s="3" t="s">
        <v>6</v>
      </c>
      <c r="K228" s="3" t="s">
        <v>6</v>
      </c>
      <c r="L228" s="3"/>
      <c r="M228" s="3">
        <v>36514</v>
      </c>
      <c r="N228" s="3" t="s">
        <v>7</v>
      </c>
      <c r="O228" s="3" t="s">
        <v>8</v>
      </c>
      <c r="P228" s="3" t="s">
        <v>6</v>
      </c>
      <c r="Q228" s="3" t="s">
        <v>6</v>
      </c>
      <c r="R228" s="10">
        <v>45.669194490000002</v>
      </c>
      <c r="S228" s="10">
        <v>45.676526590000002</v>
      </c>
      <c r="T228" s="10">
        <v>12.161685889999999</v>
      </c>
      <c r="U228" s="10">
        <v>28.9</v>
      </c>
      <c r="V228" s="10">
        <v>37.5</v>
      </c>
      <c r="W228" s="10">
        <v>12.102797389999999</v>
      </c>
      <c r="X228">
        <v>0</v>
      </c>
      <c r="Y228" s="10">
        <f t="shared" si="6"/>
        <v>45.672860540000002</v>
      </c>
      <c r="Z228" s="10">
        <f t="shared" si="7"/>
        <v>12.13224164</v>
      </c>
    </row>
    <row r="229" spans="1:26" x14ac:dyDescent="0.2">
      <c r="A229" s="3" t="s">
        <v>507</v>
      </c>
      <c r="B229" s="3" t="s">
        <v>508</v>
      </c>
      <c r="C229" s="3" t="s">
        <v>11</v>
      </c>
      <c r="D229" s="3" t="s">
        <v>3</v>
      </c>
      <c r="E229" s="3" t="s">
        <v>4</v>
      </c>
      <c r="F229" s="3">
        <v>53.387999999999998</v>
      </c>
      <c r="G229" s="3">
        <v>58.42</v>
      </c>
      <c r="H229" s="3">
        <v>43131</v>
      </c>
      <c r="I229" s="3" t="s">
        <v>31</v>
      </c>
      <c r="J229" s="3" t="s">
        <v>6</v>
      </c>
      <c r="K229" s="3" t="s">
        <v>6</v>
      </c>
      <c r="L229" s="3">
        <v>39044</v>
      </c>
      <c r="M229" s="3">
        <v>36514</v>
      </c>
      <c r="N229" s="3" t="s">
        <v>7</v>
      </c>
      <c r="O229" s="3" t="s">
        <v>8</v>
      </c>
      <c r="P229" s="3" t="s">
        <v>6</v>
      </c>
      <c r="Q229" s="3" t="s">
        <v>6</v>
      </c>
      <c r="R229" s="10">
        <v>45.66333779</v>
      </c>
      <c r="S229" s="10">
        <v>45.669194490000002</v>
      </c>
      <c r="T229" s="10">
        <v>12.22573719</v>
      </c>
      <c r="U229" s="10">
        <v>15.7</v>
      </c>
      <c r="V229" s="10">
        <v>28.9</v>
      </c>
      <c r="W229" s="10">
        <v>12.161685889999999</v>
      </c>
      <c r="X229">
        <v>0</v>
      </c>
      <c r="Y229" s="10">
        <f t="shared" si="6"/>
        <v>45.666266140000005</v>
      </c>
      <c r="Z229" s="10">
        <f t="shared" si="7"/>
        <v>12.193711539999999</v>
      </c>
    </row>
    <row r="230" spans="1:26" x14ac:dyDescent="0.2">
      <c r="A230" s="3" t="s">
        <v>509</v>
      </c>
      <c r="B230" s="3" t="s">
        <v>510</v>
      </c>
      <c r="C230" s="3" t="s">
        <v>11</v>
      </c>
      <c r="D230" s="3" t="s">
        <v>3</v>
      </c>
      <c r="E230" s="3" t="s">
        <v>4</v>
      </c>
      <c r="F230" s="3">
        <v>0</v>
      </c>
      <c r="G230" s="3">
        <v>5.8109999999999999</v>
      </c>
      <c r="H230" s="3">
        <v>44111</v>
      </c>
      <c r="I230" s="3" t="s">
        <v>12</v>
      </c>
      <c r="J230" s="3" t="s">
        <v>6</v>
      </c>
      <c r="K230" s="3" t="s">
        <v>6</v>
      </c>
      <c r="L230" s="3"/>
      <c r="M230" s="3">
        <v>36514</v>
      </c>
      <c r="N230" s="3" t="s">
        <v>7</v>
      </c>
      <c r="O230" s="3" t="s">
        <v>8</v>
      </c>
      <c r="P230" s="3" t="s">
        <v>6</v>
      </c>
      <c r="Q230" s="3" t="s">
        <v>6</v>
      </c>
      <c r="R230" s="10">
        <v>45.72053339</v>
      </c>
      <c r="S230" s="10">
        <v>45.766683790000002</v>
      </c>
      <c r="T230" s="10">
        <v>11.77581619</v>
      </c>
      <c r="U230" s="10">
        <v>91.4</v>
      </c>
      <c r="V230" s="10">
        <v>129.19999999999999</v>
      </c>
      <c r="W230" s="10">
        <v>11.741536290000001</v>
      </c>
      <c r="X230">
        <v>0</v>
      </c>
      <c r="Y230" s="10">
        <f t="shared" si="6"/>
        <v>45.743608590000001</v>
      </c>
      <c r="Z230" s="10">
        <f t="shared" si="7"/>
        <v>11.75867624</v>
      </c>
    </row>
    <row r="231" spans="1:26" x14ac:dyDescent="0.2">
      <c r="A231" s="3" t="s">
        <v>511</v>
      </c>
      <c r="B231" s="3" t="s">
        <v>512</v>
      </c>
      <c r="C231" s="3" t="s">
        <v>11</v>
      </c>
      <c r="D231" s="3" t="s">
        <v>3</v>
      </c>
      <c r="E231" s="3" t="s">
        <v>4</v>
      </c>
      <c r="F231" s="3">
        <v>5.8109999999999999</v>
      </c>
      <c r="G231" s="3">
        <v>7.984</v>
      </c>
      <c r="H231" s="3">
        <v>44111</v>
      </c>
      <c r="I231" s="3" t="s">
        <v>12</v>
      </c>
      <c r="J231" s="3" t="s">
        <v>6</v>
      </c>
      <c r="K231" s="3" t="s">
        <v>6</v>
      </c>
      <c r="L231" s="3"/>
      <c r="M231" s="3">
        <v>36514</v>
      </c>
      <c r="N231" s="3" t="s">
        <v>7</v>
      </c>
      <c r="O231" s="3" t="s">
        <v>8</v>
      </c>
      <c r="P231" s="3" t="s">
        <v>6</v>
      </c>
      <c r="Q231" s="3" t="s">
        <v>6</v>
      </c>
      <c r="R231" s="10">
        <v>45.702030290000003</v>
      </c>
      <c r="S231" s="10">
        <v>45.72053339</v>
      </c>
      <c r="T231" s="10">
        <v>11.784826389999999</v>
      </c>
      <c r="U231" s="10">
        <v>77.5</v>
      </c>
      <c r="V231" s="10">
        <v>91.4</v>
      </c>
      <c r="W231" s="10">
        <v>11.77581619</v>
      </c>
      <c r="X231">
        <v>0</v>
      </c>
      <c r="Y231" s="10">
        <f t="shared" si="6"/>
        <v>45.711281839999998</v>
      </c>
      <c r="Z231" s="10">
        <f t="shared" si="7"/>
        <v>11.78032129</v>
      </c>
    </row>
    <row r="232" spans="1:26" x14ac:dyDescent="0.2">
      <c r="A232" s="3" t="s">
        <v>513</v>
      </c>
      <c r="B232" s="3" t="s">
        <v>514</v>
      </c>
      <c r="C232" s="3" t="s">
        <v>11</v>
      </c>
      <c r="D232" s="3" t="s">
        <v>3</v>
      </c>
      <c r="E232" s="3" t="s">
        <v>4</v>
      </c>
      <c r="F232" s="3">
        <v>7.984</v>
      </c>
      <c r="G232" s="3">
        <v>14.618</v>
      </c>
      <c r="H232" s="3">
        <v>44111</v>
      </c>
      <c r="I232" s="3" t="s">
        <v>12</v>
      </c>
      <c r="J232" s="3" t="s">
        <v>6</v>
      </c>
      <c r="K232" s="3" t="s">
        <v>6</v>
      </c>
      <c r="L232" s="3"/>
      <c r="M232" s="3">
        <v>36514</v>
      </c>
      <c r="N232" s="3" t="s">
        <v>7</v>
      </c>
      <c r="O232" s="3" t="s">
        <v>8</v>
      </c>
      <c r="P232" s="3" t="s">
        <v>6</v>
      </c>
      <c r="Q232" s="3" t="s">
        <v>6</v>
      </c>
      <c r="R232" s="10">
        <v>45.643860400000001</v>
      </c>
      <c r="S232" s="10">
        <v>45.702030290000003</v>
      </c>
      <c r="T232" s="10">
        <v>11.7898762</v>
      </c>
      <c r="U232" s="10">
        <v>49.4</v>
      </c>
      <c r="V232" s="10">
        <v>77.5</v>
      </c>
      <c r="W232" s="10">
        <v>11.784826389999999</v>
      </c>
      <c r="X232">
        <v>0</v>
      </c>
      <c r="Y232" s="10">
        <f t="shared" si="6"/>
        <v>45.672945345000002</v>
      </c>
      <c r="Z232" s="10">
        <f t="shared" si="7"/>
        <v>11.787351295000001</v>
      </c>
    </row>
    <row r="233" spans="1:26" x14ac:dyDescent="0.2">
      <c r="A233" s="3" t="s">
        <v>515</v>
      </c>
      <c r="B233" s="3" t="s">
        <v>516</v>
      </c>
      <c r="C233" s="3" t="s">
        <v>11</v>
      </c>
      <c r="D233" s="3" t="s">
        <v>3</v>
      </c>
      <c r="E233" s="3" t="s">
        <v>4</v>
      </c>
      <c r="F233" s="3">
        <v>14.618</v>
      </c>
      <c r="G233" s="3">
        <v>21.335999999999999</v>
      </c>
      <c r="H233" s="3">
        <v>44595</v>
      </c>
      <c r="I233" s="3" t="s">
        <v>5</v>
      </c>
      <c r="J233" s="3" t="s">
        <v>6</v>
      </c>
      <c r="K233" s="3" t="s">
        <v>6</v>
      </c>
      <c r="L233" s="3"/>
      <c r="M233" s="3">
        <v>36514</v>
      </c>
      <c r="N233" s="3" t="s">
        <v>7</v>
      </c>
      <c r="O233" s="3" t="s">
        <v>8</v>
      </c>
      <c r="P233" s="3" t="s">
        <v>6</v>
      </c>
      <c r="Q233" s="3" t="s">
        <v>6</v>
      </c>
      <c r="R233" s="10">
        <v>45.607692389999997</v>
      </c>
      <c r="S233" s="10">
        <v>45.643860400000001</v>
      </c>
      <c r="T233" s="10">
        <v>11.85252779</v>
      </c>
      <c r="U233" s="10">
        <v>33</v>
      </c>
      <c r="V233" s="10">
        <v>49.4</v>
      </c>
      <c r="W233" s="10">
        <v>11.7898762</v>
      </c>
      <c r="X233">
        <v>0</v>
      </c>
      <c r="Y233" s="10">
        <f t="shared" si="6"/>
        <v>45.625776395000003</v>
      </c>
      <c r="Z233" s="10">
        <f t="shared" si="7"/>
        <v>11.821201994999999</v>
      </c>
    </row>
    <row r="234" spans="1:26" x14ac:dyDescent="0.2">
      <c r="A234" s="3" t="s">
        <v>517</v>
      </c>
      <c r="B234" s="3" t="s">
        <v>518</v>
      </c>
      <c r="C234" s="3" t="s">
        <v>11</v>
      </c>
      <c r="D234" s="3" t="s">
        <v>3</v>
      </c>
      <c r="E234" s="3" t="s">
        <v>4</v>
      </c>
      <c r="F234" s="3">
        <v>21.335999999999999</v>
      </c>
      <c r="G234" s="3">
        <v>26.207000000000001</v>
      </c>
      <c r="H234" s="3">
        <v>44111</v>
      </c>
      <c r="I234" s="3" t="s">
        <v>12</v>
      </c>
      <c r="J234" s="3" t="s">
        <v>6</v>
      </c>
      <c r="K234" s="3" t="s">
        <v>6</v>
      </c>
      <c r="L234" s="3"/>
      <c r="M234" s="3">
        <v>36514</v>
      </c>
      <c r="N234" s="3" t="s">
        <v>7</v>
      </c>
      <c r="O234" s="3" t="s">
        <v>8</v>
      </c>
      <c r="P234" s="3" t="s">
        <v>6</v>
      </c>
      <c r="Q234" s="3" t="s">
        <v>6</v>
      </c>
      <c r="R234" s="10">
        <v>45.585838889999998</v>
      </c>
      <c r="S234" s="10">
        <v>45.607692389999997</v>
      </c>
      <c r="T234" s="10">
        <v>11.906647189999999</v>
      </c>
      <c r="U234" s="10">
        <v>26.3</v>
      </c>
      <c r="V234" s="10">
        <v>33</v>
      </c>
      <c r="W234" s="10">
        <v>11.85252779</v>
      </c>
      <c r="X234">
        <v>0</v>
      </c>
      <c r="Y234" s="10">
        <f t="shared" si="6"/>
        <v>45.596765640000001</v>
      </c>
      <c r="Z234" s="10">
        <f t="shared" si="7"/>
        <v>11.879587489999999</v>
      </c>
    </row>
    <row r="235" spans="1:26" x14ac:dyDescent="0.2">
      <c r="A235" s="3" t="s">
        <v>519</v>
      </c>
      <c r="B235" s="3" t="s">
        <v>520</v>
      </c>
      <c r="C235" s="3" t="s">
        <v>11</v>
      </c>
      <c r="D235" s="3" t="s">
        <v>3</v>
      </c>
      <c r="E235" s="3" t="s">
        <v>4</v>
      </c>
      <c r="F235" s="3">
        <v>26.207000000000001</v>
      </c>
      <c r="G235" s="3">
        <v>29.114999999999998</v>
      </c>
      <c r="H235" s="3">
        <v>44595</v>
      </c>
      <c r="I235" s="3" t="s">
        <v>5</v>
      </c>
      <c r="J235" s="3" t="s">
        <v>6</v>
      </c>
      <c r="K235" s="3" t="s">
        <v>6</v>
      </c>
      <c r="L235" s="3"/>
      <c r="M235" s="3">
        <v>36514</v>
      </c>
      <c r="N235" s="3" t="s">
        <v>7</v>
      </c>
      <c r="O235" s="3" t="s">
        <v>8</v>
      </c>
      <c r="P235" s="3" t="s">
        <v>6</v>
      </c>
      <c r="Q235" s="3" t="s">
        <v>6</v>
      </c>
      <c r="R235" s="10">
        <v>45.5689153</v>
      </c>
      <c r="S235" s="10">
        <v>45.585838889999998</v>
      </c>
      <c r="T235" s="10">
        <v>11.928300589999999</v>
      </c>
      <c r="U235" s="10">
        <v>25.7</v>
      </c>
      <c r="V235" s="10">
        <v>26.3</v>
      </c>
      <c r="W235" s="10">
        <v>11.906647189999999</v>
      </c>
      <c r="X235">
        <v>0</v>
      </c>
      <c r="Y235" s="10">
        <f t="shared" si="6"/>
        <v>45.577377095000003</v>
      </c>
      <c r="Z235" s="10">
        <f t="shared" si="7"/>
        <v>11.91747389</v>
      </c>
    </row>
    <row r="236" spans="1:26" x14ac:dyDescent="0.2">
      <c r="A236" s="3" t="s">
        <v>521</v>
      </c>
      <c r="B236" s="3" t="s">
        <v>522</v>
      </c>
      <c r="C236" s="3" t="s">
        <v>11</v>
      </c>
      <c r="D236" s="3" t="s">
        <v>3</v>
      </c>
      <c r="E236" s="3" t="s">
        <v>4</v>
      </c>
      <c r="F236" s="3">
        <v>45.401000000000003</v>
      </c>
      <c r="G236" s="3">
        <v>51.283000000000001</v>
      </c>
      <c r="H236" s="3">
        <v>43131</v>
      </c>
      <c r="I236" s="3" t="s">
        <v>31</v>
      </c>
      <c r="J236" s="3" t="s">
        <v>6</v>
      </c>
      <c r="K236" s="3" t="s">
        <v>6</v>
      </c>
      <c r="L236" s="3">
        <v>38939</v>
      </c>
      <c r="M236" s="3">
        <v>36514</v>
      </c>
      <c r="N236" s="3" t="s">
        <v>7</v>
      </c>
      <c r="O236" s="3" t="s">
        <v>8</v>
      </c>
      <c r="P236" s="3" t="s">
        <v>6</v>
      </c>
      <c r="Q236" s="3" t="s">
        <v>6</v>
      </c>
      <c r="R236" s="10">
        <v>45.732281790000002</v>
      </c>
      <c r="S236" s="10">
        <v>45.766683790000002</v>
      </c>
      <c r="T236" s="10">
        <v>11.795887499999999</v>
      </c>
      <c r="U236" s="10">
        <v>94.5</v>
      </c>
      <c r="V236" s="10">
        <v>129.19999999999999</v>
      </c>
      <c r="W236" s="10">
        <v>11.741536290000001</v>
      </c>
      <c r="X236">
        <v>0</v>
      </c>
      <c r="Y236" s="10">
        <f t="shared" si="6"/>
        <v>45.749482790000002</v>
      </c>
      <c r="Z236" s="10">
        <f t="shared" si="7"/>
        <v>11.768711894999999</v>
      </c>
    </row>
    <row r="237" spans="1:26" x14ac:dyDescent="0.2">
      <c r="A237" s="3" t="s">
        <v>523</v>
      </c>
      <c r="B237" s="3" t="s">
        <v>524</v>
      </c>
      <c r="C237" s="3" t="s">
        <v>11</v>
      </c>
      <c r="D237" s="3" t="s">
        <v>3</v>
      </c>
      <c r="E237" s="3" t="s">
        <v>4</v>
      </c>
      <c r="F237" s="3">
        <v>37.375999999999998</v>
      </c>
      <c r="G237" s="3">
        <v>45.401000000000003</v>
      </c>
      <c r="H237" s="3">
        <v>44531</v>
      </c>
      <c r="I237" s="3" t="s">
        <v>5</v>
      </c>
      <c r="J237" s="3" t="s">
        <v>6</v>
      </c>
      <c r="K237" s="3" t="s">
        <v>6</v>
      </c>
      <c r="L237" s="3">
        <v>38939</v>
      </c>
      <c r="M237" s="3">
        <v>36514</v>
      </c>
      <c r="N237" s="3" t="s">
        <v>7</v>
      </c>
      <c r="O237" s="3" t="s">
        <v>8</v>
      </c>
      <c r="P237" s="3" t="s">
        <v>6</v>
      </c>
      <c r="Q237" s="3" t="s">
        <v>6</v>
      </c>
      <c r="R237" s="10">
        <v>45.688072689999998</v>
      </c>
      <c r="S237" s="10">
        <v>45.732281790000002</v>
      </c>
      <c r="T237" s="10">
        <v>11.877604590000001</v>
      </c>
      <c r="U237" s="10">
        <v>52.2</v>
      </c>
      <c r="V237" s="10">
        <v>94.5</v>
      </c>
      <c r="W237" s="10">
        <v>11.795887499999999</v>
      </c>
      <c r="X237">
        <v>0</v>
      </c>
      <c r="Y237" s="10">
        <f t="shared" si="6"/>
        <v>45.71017724</v>
      </c>
      <c r="Z237" s="10">
        <f t="shared" si="7"/>
        <v>11.836746045</v>
      </c>
    </row>
    <row r="238" spans="1:26" x14ac:dyDescent="0.2">
      <c r="A238" s="3" t="s">
        <v>525</v>
      </c>
      <c r="B238" s="3" t="s">
        <v>526</v>
      </c>
      <c r="C238" s="3" t="s">
        <v>11</v>
      </c>
      <c r="D238" s="3" t="s">
        <v>3</v>
      </c>
      <c r="E238" s="3" t="s">
        <v>4</v>
      </c>
      <c r="F238" s="3">
        <v>32.134999999999998</v>
      </c>
      <c r="G238" s="3">
        <v>37.375999999999998</v>
      </c>
      <c r="H238" s="3">
        <v>43131</v>
      </c>
      <c r="I238" s="3" t="s">
        <v>31</v>
      </c>
      <c r="J238" s="3" t="s">
        <v>6</v>
      </c>
      <c r="K238" s="3" t="s">
        <v>6</v>
      </c>
      <c r="L238" s="3">
        <v>38939</v>
      </c>
      <c r="M238" s="3">
        <v>36514</v>
      </c>
      <c r="N238" s="3" t="s">
        <v>7</v>
      </c>
      <c r="O238" s="3" t="s">
        <v>8</v>
      </c>
      <c r="P238" s="3" t="s">
        <v>6</v>
      </c>
      <c r="Q238" s="3" t="s">
        <v>6</v>
      </c>
      <c r="R238" s="10">
        <v>45.666425490000002</v>
      </c>
      <c r="S238" s="10">
        <v>45.688072689999998</v>
      </c>
      <c r="T238" s="10">
        <v>11.93432819</v>
      </c>
      <c r="U238" s="10">
        <v>41</v>
      </c>
      <c r="V238" s="10">
        <v>52.2</v>
      </c>
      <c r="W238" s="10">
        <v>11.877604590000001</v>
      </c>
      <c r="X238">
        <v>0</v>
      </c>
      <c r="Y238" s="10">
        <f t="shared" si="6"/>
        <v>45.677249090000004</v>
      </c>
      <c r="Z238" s="10">
        <f t="shared" si="7"/>
        <v>11.90596639</v>
      </c>
    </row>
    <row r="239" spans="1:26" x14ac:dyDescent="0.2">
      <c r="A239" s="3" t="s">
        <v>527</v>
      </c>
      <c r="B239" s="3" t="s">
        <v>528</v>
      </c>
      <c r="C239" s="3" t="s">
        <v>11</v>
      </c>
      <c r="D239" s="3" t="s">
        <v>3</v>
      </c>
      <c r="E239" s="3" t="s">
        <v>4</v>
      </c>
      <c r="F239" s="3">
        <v>27.286000000000001</v>
      </c>
      <c r="G239" s="3">
        <v>32.134999999999998</v>
      </c>
      <c r="H239" s="3">
        <v>43107</v>
      </c>
      <c r="I239" s="3" t="s">
        <v>31</v>
      </c>
      <c r="J239" s="3" t="s">
        <v>6</v>
      </c>
      <c r="K239" s="3" t="s">
        <v>6</v>
      </c>
      <c r="L239" s="3"/>
      <c r="M239" s="3">
        <v>36514</v>
      </c>
      <c r="N239" s="3" t="s">
        <v>7</v>
      </c>
      <c r="O239" s="3" t="s">
        <v>8</v>
      </c>
      <c r="P239" s="3" t="s">
        <v>6</v>
      </c>
      <c r="Q239" s="3" t="s">
        <v>6</v>
      </c>
      <c r="R239" s="10">
        <v>45.634072289999999</v>
      </c>
      <c r="S239" s="10">
        <v>45.666425490000002</v>
      </c>
      <c r="T239" s="10">
        <v>11.964262189999999</v>
      </c>
      <c r="U239" s="10">
        <v>32.1</v>
      </c>
      <c r="V239" s="10">
        <v>41</v>
      </c>
      <c r="W239" s="10">
        <v>11.93432819</v>
      </c>
      <c r="X239">
        <v>0</v>
      </c>
      <c r="Y239" s="10">
        <f t="shared" si="6"/>
        <v>45.65024889</v>
      </c>
      <c r="Z239" s="10">
        <f t="shared" si="7"/>
        <v>11.949295190000001</v>
      </c>
    </row>
    <row r="240" spans="1:26" x14ac:dyDescent="0.2">
      <c r="A240" s="3" t="s">
        <v>529</v>
      </c>
      <c r="B240" s="3" t="s">
        <v>530</v>
      </c>
      <c r="C240" s="3" t="s">
        <v>11</v>
      </c>
      <c r="D240" s="3" t="s">
        <v>3</v>
      </c>
      <c r="E240" s="3" t="s">
        <v>4</v>
      </c>
      <c r="F240" s="3">
        <v>23.312000000000001</v>
      </c>
      <c r="G240" s="3">
        <v>27.286000000000001</v>
      </c>
      <c r="H240" s="3">
        <v>43107</v>
      </c>
      <c r="I240" s="3" t="s">
        <v>31</v>
      </c>
      <c r="J240" s="3" t="s">
        <v>6</v>
      </c>
      <c r="K240" s="3" t="s">
        <v>6</v>
      </c>
      <c r="L240" s="3"/>
      <c r="M240" s="3">
        <v>36514</v>
      </c>
      <c r="N240" s="3" t="s">
        <v>7</v>
      </c>
      <c r="O240" s="3" t="s">
        <v>8</v>
      </c>
      <c r="P240" s="3" t="s">
        <v>6</v>
      </c>
      <c r="Q240" s="3" t="s">
        <v>6</v>
      </c>
      <c r="R240" s="10">
        <v>45.609430789999998</v>
      </c>
      <c r="S240" s="10">
        <v>45.634072289999999</v>
      </c>
      <c r="T240" s="10">
        <v>12.000592190000001</v>
      </c>
      <c r="U240" s="10">
        <v>27.1</v>
      </c>
      <c r="V240" s="10">
        <v>32.1</v>
      </c>
      <c r="W240" s="10">
        <v>11.964262189999999</v>
      </c>
      <c r="X240">
        <v>0</v>
      </c>
      <c r="Y240" s="10">
        <f t="shared" si="6"/>
        <v>45.621751539999998</v>
      </c>
      <c r="Z240" s="10">
        <f t="shared" si="7"/>
        <v>11.982427189999999</v>
      </c>
    </row>
    <row r="241" spans="1:26" x14ac:dyDescent="0.2">
      <c r="A241" s="3" t="s">
        <v>531</v>
      </c>
      <c r="B241" s="3" t="s">
        <v>532</v>
      </c>
      <c r="C241" s="3" t="s">
        <v>11</v>
      </c>
      <c r="D241" s="3" t="s">
        <v>3</v>
      </c>
      <c r="E241" s="3" t="s">
        <v>4</v>
      </c>
      <c r="F241" s="3">
        <v>11.316000000000001</v>
      </c>
      <c r="G241" s="3">
        <v>14.837</v>
      </c>
      <c r="H241" s="3">
        <v>43131</v>
      </c>
      <c r="I241" s="3" t="s">
        <v>31</v>
      </c>
      <c r="J241" s="3" t="s">
        <v>6</v>
      </c>
      <c r="K241" s="3" t="s">
        <v>6</v>
      </c>
      <c r="L241" s="3"/>
      <c r="M241" s="3">
        <v>36514</v>
      </c>
      <c r="N241" s="3" t="s">
        <v>7</v>
      </c>
      <c r="O241" s="3" t="s">
        <v>8</v>
      </c>
      <c r="P241" s="3" t="s">
        <v>6</v>
      </c>
      <c r="Q241" s="3" t="s">
        <v>6</v>
      </c>
      <c r="R241" s="10">
        <v>45.535372289999998</v>
      </c>
      <c r="S241" s="10">
        <v>45.553829090000001</v>
      </c>
      <c r="T241" s="10">
        <v>12.11149039</v>
      </c>
      <c r="U241" s="10">
        <v>11.9</v>
      </c>
      <c r="V241" s="10">
        <v>14.9</v>
      </c>
      <c r="W241" s="10">
        <v>12.07489479</v>
      </c>
      <c r="X241">
        <v>0</v>
      </c>
      <c r="Y241" s="10">
        <f t="shared" si="6"/>
        <v>45.544600689999996</v>
      </c>
      <c r="Z241" s="10">
        <f t="shared" si="7"/>
        <v>12.093192590000001</v>
      </c>
    </row>
    <row r="242" spans="1:26" x14ac:dyDescent="0.2">
      <c r="A242" s="3" t="s">
        <v>533</v>
      </c>
      <c r="B242" s="3" t="s">
        <v>534</v>
      </c>
      <c r="C242" s="3" t="s">
        <v>11</v>
      </c>
      <c r="D242" s="3" t="s">
        <v>3</v>
      </c>
      <c r="E242" s="3" t="s">
        <v>4</v>
      </c>
      <c r="F242" s="3">
        <v>7.4989999999999997</v>
      </c>
      <c r="G242" s="3">
        <v>11.316000000000001</v>
      </c>
      <c r="H242" s="3">
        <v>43131</v>
      </c>
      <c r="I242" s="3" t="s">
        <v>31</v>
      </c>
      <c r="J242" s="3" t="s">
        <v>6</v>
      </c>
      <c r="K242" s="3" t="s">
        <v>6</v>
      </c>
      <c r="L242" s="3"/>
      <c r="M242" s="3">
        <v>36514</v>
      </c>
      <c r="N242" s="3" t="s">
        <v>7</v>
      </c>
      <c r="O242" s="3" t="s">
        <v>8</v>
      </c>
      <c r="P242" s="3" t="s">
        <v>6</v>
      </c>
      <c r="Q242" s="3" t="s">
        <v>6</v>
      </c>
      <c r="R242" s="10">
        <v>45.514426989999997</v>
      </c>
      <c r="S242" s="10">
        <v>45.535372289999998</v>
      </c>
      <c r="T242" s="10">
        <v>12.15135699</v>
      </c>
      <c r="U242" s="10">
        <v>8</v>
      </c>
      <c r="V242" s="10">
        <v>11.9</v>
      </c>
      <c r="W242" s="10">
        <v>12.11149039</v>
      </c>
      <c r="X242">
        <v>0</v>
      </c>
      <c r="Y242" s="10">
        <f t="shared" si="6"/>
        <v>45.524899640000001</v>
      </c>
      <c r="Z242" s="10">
        <f t="shared" si="7"/>
        <v>12.13142369</v>
      </c>
    </row>
    <row r="243" spans="1:26" x14ac:dyDescent="0.2">
      <c r="A243" s="3" t="s">
        <v>535</v>
      </c>
      <c r="B243" s="3" t="s">
        <v>536</v>
      </c>
      <c r="C243" s="3" t="s">
        <v>11</v>
      </c>
      <c r="D243" s="3" t="s">
        <v>3</v>
      </c>
      <c r="E243" s="3" t="s">
        <v>4</v>
      </c>
      <c r="F243" s="3">
        <v>59.447000000000003</v>
      </c>
      <c r="G243" s="3">
        <v>64.960999999999999</v>
      </c>
      <c r="H243" s="3">
        <v>44111</v>
      </c>
      <c r="I243" s="3" t="s">
        <v>12</v>
      </c>
      <c r="J243" s="3" t="s">
        <v>6</v>
      </c>
      <c r="K243" s="3" t="s">
        <v>6</v>
      </c>
      <c r="L243" s="3">
        <v>39014</v>
      </c>
      <c r="M243" s="3">
        <v>36514</v>
      </c>
      <c r="N243" s="3" t="s">
        <v>7</v>
      </c>
      <c r="O243" s="3" t="s">
        <v>8</v>
      </c>
      <c r="P243" s="3" t="s">
        <v>6</v>
      </c>
      <c r="Q243" s="3" t="s">
        <v>6</v>
      </c>
      <c r="R243" s="10">
        <v>45.928054590000002</v>
      </c>
      <c r="S243" s="10">
        <v>45.948401390000001</v>
      </c>
      <c r="T243" s="10">
        <v>12.43427309</v>
      </c>
      <c r="U243" s="10">
        <v>40.200000000000003</v>
      </c>
      <c r="V243" s="10">
        <v>25.3</v>
      </c>
      <c r="W243" s="10">
        <v>12.49851449</v>
      </c>
      <c r="X243">
        <v>0</v>
      </c>
      <c r="Y243" s="10">
        <f t="shared" si="6"/>
        <v>45.938227990000001</v>
      </c>
      <c r="Z243" s="10">
        <f t="shared" si="7"/>
        <v>12.46639379</v>
      </c>
    </row>
    <row r="244" spans="1:26" x14ac:dyDescent="0.2">
      <c r="A244" s="3" t="s">
        <v>537</v>
      </c>
      <c r="B244" s="3" t="s">
        <v>538</v>
      </c>
      <c r="C244" s="3" t="s">
        <v>11</v>
      </c>
      <c r="D244" s="3" t="s">
        <v>3</v>
      </c>
      <c r="E244" s="3" t="s">
        <v>4</v>
      </c>
      <c r="F244" s="3">
        <v>55.494999999999997</v>
      </c>
      <c r="G244" s="3">
        <v>59.447000000000003</v>
      </c>
      <c r="H244" s="3">
        <v>44111</v>
      </c>
      <c r="I244" s="3" t="s">
        <v>12</v>
      </c>
      <c r="J244" s="3" t="s">
        <v>6</v>
      </c>
      <c r="K244" s="3" t="s">
        <v>6</v>
      </c>
      <c r="L244" s="3">
        <v>39014</v>
      </c>
      <c r="M244" s="3">
        <v>36514</v>
      </c>
      <c r="N244" s="3" t="s">
        <v>7</v>
      </c>
      <c r="O244" s="3" t="s">
        <v>8</v>
      </c>
      <c r="P244" s="3" t="s">
        <v>6</v>
      </c>
      <c r="Q244" s="3" t="s">
        <v>6</v>
      </c>
      <c r="R244" s="10">
        <v>45.913390489999998</v>
      </c>
      <c r="S244" s="10">
        <v>45.928054590000002</v>
      </c>
      <c r="T244" s="10">
        <v>12.388183290000001</v>
      </c>
      <c r="U244" s="10">
        <v>47.5</v>
      </c>
      <c r="V244" s="10">
        <v>40.200000000000003</v>
      </c>
      <c r="W244" s="10">
        <v>12.43427309</v>
      </c>
      <c r="X244">
        <v>0</v>
      </c>
      <c r="Y244" s="10">
        <f t="shared" si="6"/>
        <v>45.92072254</v>
      </c>
      <c r="Z244" s="10">
        <f t="shared" si="7"/>
        <v>12.411228189999999</v>
      </c>
    </row>
    <row r="245" spans="1:26" x14ac:dyDescent="0.2">
      <c r="A245" s="3" t="s">
        <v>539</v>
      </c>
      <c r="B245" s="3" t="s">
        <v>540</v>
      </c>
      <c r="C245" s="3" t="s">
        <v>11</v>
      </c>
      <c r="D245" s="3" t="s">
        <v>3</v>
      </c>
      <c r="E245" s="3" t="s">
        <v>4</v>
      </c>
      <c r="F245" s="3">
        <v>40.039000000000001</v>
      </c>
      <c r="G245" s="3">
        <v>47.860999999999997</v>
      </c>
      <c r="H245" s="3">
        <v>43131</v>
      </c>
      <c r="I245" s="3" t="s">
        <v>31</v>
      </c>
      <c r="J245" s="3" t="s">
        <v>6</v>
      </c>
      <c r="K245" s="3" t="s">
        <v>6</v>
      </c>
      <c r="L245" s="3">
        <v>39014</v>
      </c>
      <c r="M245" s="3">
        <v>36514</v>
      </c>
      <c r="N245" s="3" t="s">
        <v>7</v>
      </c>
      <c r="O245" s="3" t="s">
        <v>8</v>
      </c>
      <c r="P245" s="3" t="s">
        <v>6</v>
      </c>
      <c r="Q245" s="3" t="s">
        <v>6</v>
      </c>
      <c r="R245" s="10">
        <v>45.821044190000002</v>
      </c>
      <c r="S245" s="10">
        <v>45.88469379</v>
      </c>
      <c r="T245" s="10">
        <v>12.25837329</v>
      </c>
      <c r="U245" s="10">
        <v>70.2</v>
      </c>
      <c r="V245" s="10">
        <v>62.6</v>
      </c>
      <c r="W245" s="10">
        <v>12.298925690000001</v>
      </c>
      <c r="X245">
        <v>0</v>
      </c>
      <c r="Y245" s="10">
        <f t="shared" si="6"/>
        <v>45.852868990000005</v>
      </c>
      <c r="Z245" s="10">
        <f t="shared" si="7"/>
        <v>12.278649489999999</v>
      </c>
    </row>
    <row r="246" spans="1:26" x14ac:dyDescent="0.2">
      <c r="A246" s="3" t="s">
        <v>541</v>
      </c>
      <c r="B246" s="3" t="s">
        <v>542</v>
      </c>
      <c r="C246" s="3" t="s">
        <v>11</v>
      </c>
      <c r="D246" s="3" t="s">
        <v>3</v>
      </c>
      <c r="E246" s="3" t="s">
        <v>4</v>
      </c>
      <c r="F246" s="3">
        <v>34.734000000000002</v>
      </c>
      <c r="G246" s="3">
        <v>40.039000000000001</v>
      </c>
      <c r="H246" s="3">
        <v>43131</v>
      </c>
      <c r="I246" s="3" t="s">
        <v>31</v>
      </c>
      <c r="J246" s="3" t="s">
        <v>6</v>
      </c>
      <c r="K246" s="3" t="s">
        <v>6</v>
      </c>
      <c r="L246" s="3">
        <v>39014</v>
      </c>
      <c r="M246" s="3">
        <v>36514</v>
      </c>
      <c r="N246" s="3" t="s">
        <v>7</v>
      </c>
      <c r="O246" s="3" t="s">
        <v>8</v>
      </c>
      <c r="P246" s="3" t="s">
        <v>6</v>
      </c>
      <c r="Q246" s="3" t="s">
        <v>6</v>
      </c>
      <c r="R246" s="10">
        <v>45.777621289999999</v>
      </c>
      <c r="S246" s="10">
        <v>45.821044190000002</v>
      </c>
      <c r="T246" s="10">
        <v>12.26699449</v>
      </c>
      <c r="U246" s="10">
        <v>55.6</v>
      </c>
      <c r="V246" s="10">
        <v>70.2</v>
      </c>
      <c r="W246" s="10">
        <v>12.25837329</v>
      </c>
      <c r="X246">
        <v>0</v>
      </c>
      <c r="Y246" s="10">
        <f t="shared" si="6"/>
        <v>45.799332739999997</v>
      </c>
      <c r="Z246" s="10">
        <f t="shared" si="7"/>
        <v>12.26268389</v>
      </c>
    </row>
    <row r="247" spans="1:26" x14ac:dyDescent="0.2">
      <c r="A247" s="3" t="s">
        <v>543</v>
      </c>
      <c r="B247" s="3" t="s">
        <v>544</v>
      </c>
      <c r="C247" s="3" t="s">
        <v>11</v>
      </c>
      <c r="D247" s="3" t="s">
        <v>3</v>
      </c>
      <c r="E247" s="3" t="s">
        <v>4</v>
      </c>
      <c r="F247" s="3">
        <v>27.212</v>
      </c>
      <c r="G247" s="3">
        <v>34.734000000000002</v>
      </c>
      <c r="H247" s="3">
        <v>43131</v>
      </c>
      <c r="I247" s="3" t="s">
        <v>31</v>
      </c>
      <c r="J247" s="3" t="s">
        <v>6</v>
      </c>
      <c r="K247" s="3" t="s">
        <v>6</v>
      </c>
      <c r="L247" s="3">
        <v>39057</v>
      </c>
      <c r="M247" s="3">
        <v>36514</v>
      </c>
      <c r="N247" s="3" t="s">
        <v>7</v>
      </c>
      <c r="O247" s="3" t="s">
        <v>8</v>
      </c>
      <c r="P247" s="3" t="s">
        <v>6</v>
      </c>
      <c r="Q247" s="3" t="s">
        <v>6</v>
      </c>
      <c r="R247" s="10">
        <v>45.710080089999998</v>
      </c>
      <c r="S247" s="10">
        <v>45.777621289999999</v>
      </c>
      <c r="T247" s="10">
        <v>12.26567199</v>
      </c>
      <c r="U247" s="10">
        <v>27.5</v>
      </c>
      <c r="V247" s="10">
        <v>55.6</v>
      </c>
      <c r="W247" s="10">
        <v>12.26699449</v>
      </c>
      <c r="X247">
        <v>0</v>
      </c>
      <c r="Y247" s="10">
        <f t="shared" si="6"/>
        <v>45.743850690000002</v>
      </c>
      <c r="Z247" s="10">
        <f t="shared" si="7"/>
        <v>12.26633324</v>
      </c>
    </row>
    <row r="248" spans="1:26" x14ac:dyDescent="0.2">
      <c r="A248" s="3" t="s">
        <v>546</v>
      </c>
      <c r="B248" s="3" t="s">
        <v>547</v>
      </c>
      <c r="C248" s="3" t="s">
        <v>11</v>
      </c>
      <c r="D248" s="3" t="s">
        <v>3</v>
      </c>
      <c r="E248" s="3" t="s">
        <v>4</v>
      </c>
      <c r="F248" s="3">
        <v>9.2729999999999997</v>
      </c>
      <c r="G248" s="3">
        <v>13.925000000000001</v>
      </c>
      <c r="H248" s="3">
        <v>43107</v>
      </c>
      <c r="I248" s="3" t="s">
        <v>31</v>
      </c>
      <c r="J248" s="3" t="s">
        <v>6</v>
      </c>
      <c r="K248" s="3" t="s">
        <v>6</v>
      </c>
      <c r="L248" s="3"/>
      <c r="M248" s="3">
        <v>36514</v>
      </c>
      <c r="N248" s="3" t="s">
        <v>7</v>
      </c>
      <c r="O248" s="3" t="s">
        <v>8</v>
      </c>
      <c r="P248" s="3" t="s">
        <v>6</v>
      </c>
      <c r="Q248" s="3" t="s">
        <v>6</v>
      </c>
      <c r="R248" s="10">
        <v>45.561866989999999</v>
      </c>
      <c r="S248" s="10">
        <v>45.603667590000001</v>
      </c>
      <c r="T248" s="10">
        <v>12.232760089999999</v>
      </c>
      <c r="U248" s="10">
        <v>11.5</v>
      </c>
      <c r="V248" s="10">
        <v>13.2</v>
      </c>
      <c r="W248" s="10">
        <v>12.23138649</v>
      </c>
      <c r="X248">
        <v>0</v>
      </c>
      <c r="Y248" s="10">
        <f t="shared" si="6"/>
        <v>45.58276729</v>
      </c>
      <c r="Z248" s="10">
        <f t="shared" si="7"/>
        <v>12.232073289999999</v>
      </c>
    </row>
    <row r="249" spans="1:26" x14ac:dyDescent="0.2">
      <c r="A249" s="3" t="s">
        <v>548</v>
      </c>
      <c r="B249" s="3" t="s">
        <v>549</v>
      </c>
      <c r="C249" s="3" t="s">
        <v>11</v>
      </c>
      <c r="D249" s="3" t="s">
        <v>3</v>
      </c>
      <c r="E249" s="3" t="s">
        <v>4</v>
      </c>
      <c r="F249" s="3">
        <v>13.925000000000001</v>
      </c>
      <c r="G249" s="3">
        <v>16.396000000000001</v>
      </c>
      <c r="H249" s="3">
        <v>43107</v>
      </c>
      <c r="I249" s="3" t="s">
        <v>31</v>
      </c>
      <c r="J249" s="3" t="s">
        <v>6</v>
      </c>
      <c r="K249" s="3" t="s">
        <v>6</v>
      </c>
      <c r="L249" s="3">
        <v>39425</v>
      </c>
      <c r="M249" s="3">
        <v>39575</v>
      </c>
      <c r="N249" s="3" t="s">
        <v>7</v>
      </c>
      <c r="O249" s="3" t="s">
        <v>8</v>
      </c>
      <c r="P249" s="3" t="s">
        <v>6</v>
      </c>
      <c r="Q249" s="3" t="s">
        <v>545</v>
      </c>
      <c r="R249" s="10">
        <v>45.603667590000001</v>
      </c>
      <c r="S249" s="10">
        <v>45.625871189999998</v>
      </c>
      <c r="T249" s="10">
        <v>12.23138649</v>
      </c>
      <c r="U249" s="10">
        <v>13.2</v>
      </c>
      <c r="V249" s="10">
        <v>14.7</v>
      </c>
      <c r="W249" s="10">
        <v>12.23269649</v>
      </c>
      <c r="X249">
        <v>0</v>
      </c>
      <c r="Y249" s="10">
        <f t="shared" si="6"/>
        <v>45.614769389999999</v>
      </c>
      <c r="Z249" s="10">
        <f t="shared" si="7"/>
        <v>12.23204149</v>
      </c>
    </row>
    <row r="250" spans="1:26" x14ac:dyDescent="0.2">
      <c r="A250" s="3" t="s">
        <v>550</v>
      </c>
      <c r="B250" s="3" t="s">
        <v>551</v>
      </c>
      <c r="C250" s="3" t="s">
        <v>11</v>
      </c>
      <c r="D250" s="3" t="s">
        <v>3</v>
      </c>
      <c r="E250" s="3" t="s">
        <v>4</v>
      </c>
      <c r="F250" s="3">
        <v>16.396000000000001</v>
      </c>
      <c r="G250" s="3">
        <v>20.908000000000001</v>
      </c>
      <c r="H250" s="3">
        <v>43107</v>
      </c>
      <c r="I250" s="3" t="s">
        <v>31</v>
      </c>
      <c r="J250" s="3" t="s">
        <v>6</v>
      </c>
      <c r="K250" s="3" t="s">
        <v>6</v>
      </c>
      <c r="L250" s="3">
        <v>39425</v>
      </c>
      <c r="M250" s="3">
        <v>39575</v>
      </c>
      <c r="N250" s="3" t="s">
        <v>7</v>
      </c>
      <c r="O250" s="3" t="s">
        <v>8</v>
      </c>
      <c r="P250" s="3" t="s">
        <v>6</v>
      </c>
      <c r="Q250" s="3" t="s">
        <v>545</v>
      </c>
      <c r="R250" s="10">
        <v>45.625871189999998</v>
      </c>
      <c r="S250" s="10">
        <v>45.659600990000001</v>
      </c>
      <c r="T250" s="10">
        <v>12.23269649</v>
      </c>
      <c r="U250" s="10">
        <v>14.7</v>
      </c>
      <c r="V250" s="10">
        <v>18.600000000000001</v>
      </c>
      <c r="W250" s="10">
        <v>12.24615039</v>
      </c>
      <c r="X250">
        <v>0</v>
      </c>
      <c r="Y250" s="10">
        <f t="shared" si="6"/>
        <v>45.64273609</v>
      </c>
      <c r="Z250" s="10">
        <f t="shared" si="7"/>
        <v>12.239423439999999</v>
      </c>
    </row>
    <row r="251" spans="1:26" x14ac:dyDescent="0.2">
      <c r="A251" s="3" t="s">
        <v>552</v>
      </c>
      <c r="B251" s="3" t="s">
        <v>553</v>
      </c>
      <c r="C251" s="3" t="s">
        <v>2</v>
      </c>
      <c r="D251" s="3" t="s">
        <v>3</v>
      </c>
      <c r="E251" s="3" t="s">
        <v>4</v>
      </c>
      <c r="F251" s="3">
        <v>120.17</v>
      </c>
      <c r="G251" s="3">
        <v>122.92100000000001</v>
      </c>
      <c r="H251" s="3">
        <v>43107</v>
      </c>
      <c r="I251" s="3" t="s">
        <v>31</v>
      </c>
      <c r="J251" s="3" t="s">
        <v>6</v>
      </c>
      <c r="K251" s="3" t="s">
        <v>6</v>
      </c>
      <c r="L251" s="3">
        <v>39600</v>
      </c>
      <c r="M251" s="3">
        <v>36514</v>
      </c>
      <c r="N251" s="3" t="s">
        <v>7</v>
      </c>
      <c r="O251" s="3" t="s">
        <v>8</v>
      </c>
      <c r="P251" s="3" t="s">
        <v>6</v>
      </c>
      <c r="Q251" s="3" t="s">
        <v>6</v>
      </c>
      <c r="R251" s="10">
        <v>45.407755090000002</v>
      </c>
      <c r="S251" s="10">
        <v>45.417843490000003</v>
      </c>
      <c r="T251" s="10">
        <v>11.85264349</v>
      </c>
      <c r="U251" s="10">
        <v>13.8</v>
      </c>
      <c r="V251" s="10">
        <v>10.4</v>
      </c>
      <c r="W251" s="10">
        <v>11.88079739</v>
      </c>
      <c r="X251">
        <v>0</v>
      </c>
      <c r="Y251" s="11">
        <v>45.420299</v>
      </c>
      <c r="Z251" s="11">
        <v>11.865304999999999</v>
      </c>
    </row>
    <row r="252" spans="1:26" x14ac:dyDescent="0.2">
      <c r="A252" s="3" t="s">
        <v>554</v>
      </c>
      <c r="B252" s="3" t="s">
        <v>555</v>
      </c>
      <c r="C252" s="3" t="s">
        <v>2</v>
      </c>
      <c r="D252" s="3" t="s">
        <v>3</v>
      </c>
      <c r="E252" s="3" t="s">
        <v>4</v>
      </c>
      <c r="F252" s="3">
        <v>113.254</v>
      </c>
      <c r="G252" s="3">
        <v>120.17</v>
      </c>
      <c r="H252" s="3">
        <v>43131</v>
      </c>
      <c r="I252" s="3" t="s">
        <v>31</v>
      </c>
      <c r="J252" s="3" t="s">
        <v>6</v>
      </c>
      <c r="K252" s="3" t="s">
        <v>6</v>
      </c>
      <c r="L252" s="3"/>
      <c r="M252" s="3">
        <v>36514</v>
      </c>
      <c r="N252" s="3" t="s">
        <v>7</v>
      </c>
      <c r="O252" s="3" t="s">
        <v>8</v>
      </c>
      <c r="P252" s="3" t="s">
        <v>6</v>
      </c>
      <c r="Q252" s="3" t="s">
        <v>6</v>
      </c>
      <c r="R252" s="10">
        <v>45.355245689999997</v>
      </c>
      <c r="S252" s="10">
        <v>45.407755090000002</v>
      </c>
      <c r="T252" s="10">
        <v>11.811530490000001</v>
      </c>
      <c r="U252" s="10">
        <v>14.6</v>
      </c>
      <c r="V252" s="10">
        <v>13.8</v>
      </c>
      <c r="W252" s="10">
        <v>11.85264349</v>
      </c>
      <c r="X252">
        <v>0</v>
      </c>
      <c r="Y252" s="10">
        <f t="shared" si="6"/>
        <v>45.381500389999999</v>
      </c>
      <c r="Z252" s="10">
        <f t="shared" si="7"/>
        <v>11.832086990000001</v>
      </c>
    </row>
    <row r="253" spans="1:26" x14ac:dyDescent="0.2">
      <c r="A253" s="3" t="s">
        <v>556</v>
      </c>
      <c r="B253" s="3" t="s">
        <v>557</v>
      </c>
      <c r="C253" s="3" t="s">
        <v>2</v>
      </c>
      <c r="D253" s="3" t="s">
        <v>3</v>
      </c>
      <c r="E253" s="3" t="s">
        <v>4</v>
      </c>
      <c r="F253" s="3">
        <v>109.92700000000001</v>
      </c>
      <c r="G253" s="3">
        <v>113.254</v>
      </c>
      <c r="H253" s="3">
        <v>43107</v>
      </c>
      <c r="I253" s="3" t="s">
        <v>31</v>
      </c>
      <c r="J253" s="3" t="s">
        <v>6</v>
      </c>
      <c r="K253" s="3" t="s">
        <v>6</v>
      </c>
      <c r="L253" s="3"/>
      <c r="M253" s="3">
        <v>36514</v>
      </c>
      <c r="N253" s="3" t="s">
        <v>7</v>
      </c>
      <c r="O253" s="3" t="s">
        <v>8</v>
      </c>
      <c r="P253" s="3" t="s">
        <v>6</v>
      </c>
      <c r="Q253" s="3" t="s">
        <v>6</v>
      </c>
      <c r="R253" s="10">
        <v>45.327317989999997</v>
      </c>
      <c r="S253" s="10">
        <v>45.355245689999997</v>
      </c>
      <c r="T253" s="10">
        <v>11.796479789999999</v>
      </c>
      <c r="U253" s="10">
        <v>10.5</v>
      </c>
      <c r="V253" s="10">
        <v>14.6</v>
      </c>
      <c r="W253" s="10">
        <v>11.811530490000001</v>
      </c>
      <c r="X253">
        <v>0</v>
      </c>
      <c r="Y253" s="10">
        <f t="shared" si="6"/>
        <v>45.341281839999994</v>
      </c>
      <c r="Z253" s="10">
        <f t="shared" si="7"/>
        <v>11.804005140000001</v>
      </c>
    </row>
    <row r="254" spans="1:26" x14ac:dyDescent="0.2">
      <c r="A254" s="3" t="s">
        <v>558</v>
      </c>
      <c r="B254" s="3" t="s">
        <v>559</v>
      </c>
      <c r="C254" s="3" t="s">
        <v>2</v>
      </c>
      <c r="D254" s="3" t="s">
        <v>3</v>
      </c>
      <c r="E254" s="3" t="s">
        <v>4</v>
      </c>
      <c r="F254" s="3">
        <v>105.7</v>
      </c>
      <c r="G254" s="3">
        <v>109.92700000000001</v>
      </c>
      <c r="H254" s="3">
        <v>43107</v>
      </c>
      <c r="I254" s="3" t="s">
        <v>31</v>
      </c>
      <c r="J254" s="3" t="s">
        <v>6</v>
      </c>
      <c r="K254" s="3" t="s">
        <v>6</v>
      </c>
      <c r="L254" s="3"/>
      <c r="M254" s="3">
        <v>36514</v>
      </c>
      <c r="N254" s="3" t="s">
        <v>7</v>
      </c>
      <c r="O254" s="3" t="s">
        <v>8</v>
      </c>
      <c r="P254" s="3" t="s">
        <v>6</v>
      </c>
      <c r="Q254" s="3" t="s">
        <v>6</v>
      </c>
      <c r="R254" s="10">
        <v>45.291472800000001</v>
      </c>
      <c r="S254" s="10">
        <v>45.327317989999997</v>
      </c>
      <c r="T254" s="10">
        <v>11.77839249</v>
      </c>
      <c r="U254" s="10">
        <v>7.3</v>
      </c>
      <c r="V254" s="10">
        <v>10.5</v>
      </c>
      <c r="W254" s="10">
        <v>11.796479789999999</v>
      </c>
      <c r="X254">
        <v>0</v>
      </c>
      <c r="Y254" s="10">
        <f t="shared" si="6"/>
        <v>45.309395394999996</v>
      </c>
      <c r="Z254" s="10">
        <f t="shared" si="7"/>
        <v>11.787436140000001</v>
      </c>
    </row>
    <row r="255" spans="1:26" x14ac:dyDescent="0.2">
      <c r="A255" s="3" t="s">
        <v>560</v>
      </c>
      <c r="B255" s="3" t="s">
        <v>561</v>
      </c>
      <c r="C255" s="3" t="s">
        <v>2</v>
      </c>
      <c r="D255" s="3" t="s">
        <v>3</v>
      </c>
      <c r="E255" s="3" t="s">
        <v>4</v>
      </c>
      <c r="F255" s="3">
        <v>100.119</v>
      </c>
      <c r="G255" s="3">
        <v>105.7</v>
      </c>
      <c r="H255" s="3">
        <v>43107</v>
      </c>
      <c r="I255" s="3" t="s">
        <v>31</v>
      </c>
      <c r="J255" s="3" t="s">
        <v>6</v>
      </c>
      <c r="K255" s="3" t="s">
        <v>6</v>
      </c>
      <c r="L255" s="3"/>
      <c r="M255" s="3">
        <v>36514</v>
      </c>
      <c r="N255" s="3" t="s">
        <v>7</v>
      </c>
      <c r="O255" s="3" t="s">
        <v>8</v>
      </c>
      <c r="P255" s="3" t="s">
        <v>6</v>
      </c>
      <c r="Q255" s="3" t="s">
        <v>6</v>
      </c>
      <c r="R255" s="10">
        <v>45.24611419</v>
      </c>
      <c r="S255" s="10">
        <v>45.291472800000001</v>
      </c>
      <c r="T255" s="10">
        <v>11.74789979</v>
      </c>
      <c r="U255" s="10">
        <v>13</v>
      </c>
      <c r="V255" s="10">
        <v>7.3</v>
      </c>
      <c r="W255" s="10">
        <v>11.77839249</v>
      </c>
      <c r="X255">
        <v>0</v>
      </c>
      <c r="Y255" s="10">
        <f t="shared" si="6"/>
        <v>45.268793494999997</v>
      </c>
      <c r="Z255" s="10">
        <f t="shared" si="7"/>
        <v>11.76314614</v>
      </c>
    </row>
    <row r="256" spans="1:26" x14ac:dyDescent="0.2">
      <c r="A256" s="3" t="s">
        <v>562</v>
      </c>
      <c r="B256" s="3" t="s">
        <v>563</v>
      </c>
      <c r="C256" s="3" t="s">
        <v>2</v>
      </c>
      <c r="D256" s="3" t="s">
        <v>3</v>
      </c>
      <c r="E256" s="3" t="s">
        <v>4</v>
      </c>
      <c r="F256" s="3">
        <v>94.225999999999999</v>
      </c>
      <c r="G256" s="3">
        <v>100.119</v>
      </c>
      <c r="H256" s="3">
        <v>43107</v>
      </c>
      <c r="I256" s="3" t="s">
        <v>31</v>
      </c>
      <c r="J256" s="3" t="s">
        <v>6</v>
      </c>
      <c r="K256" s="3" t="s">
        <v>6</v>
      </c>
      <c r="L256" s="3"/>
      <c r="M256" s="3">
        <v>36514</v>
      </c>
      <c r="N256" s="3" t="s">
        <v>7</v>
      </c>
      <c r="O256" s="3" t="s">
        <v>8</v>
      </c>
      <c r="P256" s="3" t="s">
        <v>6</v>
      </c>
      <c r="Q256" s="3" t="s">
        <v>6</v>
      </c>
      <c r="R256" s="10">
        <v>45.199207690000001</v>
      </c>
      <c r="S256" s="10">
        <v>45.24611419</v>
      </c>
      <c r="T256" s="10">
        <v>11.71289599</v>
      </c>
      <c r="U256" s="10">
        <v>8.9</v>
      </c>
      <c r="V256" s="10">
        <v>13</v>
      </c>
      <c r="W256" s="10">
        <v>11.74789979</v>
      </c>
      <c r="X256">
        <v>0</v>
      </c>
      <c r="Y256" s="10">
        <f t="shared" si="6"/>
        <v>45.222660939999997</v>
      </c>
      <c r="Z256" s="10">
        <f t="shared" si="7"/>
        <v>11.730397889999999</v>
      </c>
    </row>
    <row r="257" spans="1:26" x14ac:dyDescent="0.2">
      <c r="A257" s="3" t="s">
        <v>564</v>
      </c>
      <c r="B257" s="3" t="s">
        <v>565</v>
      </c>
      <c r="C257" s="3" t="s">
        <v>2</v>
      </c>
      <c r="D257" s="3" t="s">
        <v>3</v>
      </c>
      <c r="E257" s="3" t="s">
        <v>4</v>
      </c>
      <c r="F257" s="3">
        <v>85.908000000000001</v>
      </c>
      <c r="G257" s="3">
        <v>94.225999999999999</v>
      </c>
      <c r="H257" s="3">
        <v>43107</v>
      </c>
      <c r="I257" s="3" t="s">
        <v>31</v>
      </c>
      <c r="J257" s="3" t="s">
        <v>6</v>
      </c>
      <c r="K257" s="3" t="s">
        <v>6</v>
      </c>
      <c r="L257" s="3"/>
      <c r="M257" s="3">
        <v>36514</v>
      </c>
      <c r="N257" s="3" t="s">
        <v>7</v>
      </c>
      <c r="O257" s="3" t="s">
        <v>8</v>
      </c>
      <c r="P257" s="3" t="s">
        <v>6</v>
      </c>
      <c r="Q257" s="3" t="s">
        <v>6</v>
      </c>
      <c r="R257" s="10">
        <v>45.132089190000002</v>
      </c>
      <c r="S257" s="10">
        <v>45.199207690000001</v>
      </c>
      <c r="T257" s="10">
        <v>11.749116689999999</v>
      </c>
      <c r="U257" s="10">
        <v>0.9</v>
      </c>
      <c r="V257" s="10">
        <v>8.9</v>
      </c>
      <c r="W257" s="10">
        <v>11.71289599</v>
      </c>
      <c r="X257">
        <v>0</v>
      </c>
      <c r="Y257" s="10">
        <f t="shared" si="6"/>
        <v>45.165648439999998</v>
      </c>
      <c r="Z257" s="10">
        <f t="shared" si="7"/>
        <v>11.73100634</v>
      </c>
    </row>
    <row r="258" spans="1:26" x14ac:dyDescent="0.2">
      <c r="A258" s="3" t="s">
        <v>566</v>
      </c>
      <c r="B258" s="3" t="s">
        <v>567</v>
      </c>
      <c r="C258" s="3" t="s">
        <v>2</v>
      </c>
      <c r="D258" s="3" t="s">
        <v>3</v>
      </c>
      <c r="E258" s="3" t="s">
        <v>4</v>
      </c>
      <c r="F258" s="3">
        <v>79.171999999999997</v>
      </c>
      <c r="G258" s="3">
        <v>85.908000000000001</v>
      </c>
      <c r="H258" s="3">
        <v>44343</v>
      </c>
      <c r="I258" s="3" t="s">
        <v>5</v>
      </c>
      <c r="J258" s="3" t="s">
        <v>6</v>
      </c>
      <c r="K258" s="3" t="s">
        <v>6</v>
      </c>
      <c r="L258" s="3"/>
      <c r="M258" s="3">
        <v>36514</v>
      </c>
      <c r="N258" s="3" t="s">
        <v>7</v>
      </c>
      <c r="O258" s="3" t="s">
        <v>8</v>
      </c>
      <c r="P258" s="3" t="s">
        <v>6</v>
      </c>
      <c r="Q258" s="3" t="s">
        <v>6</v>
      </c>
      <c r="R258" s="10">
        <v>45.076994190000001</v>
      </c>
      <c r="S258" s="10">
        <v>45.132089190000002</v>
      </c>
      <c r="T258" s="10">
        <v>11.78091259</v>
      </c>
      <c r="U258" s="10">
        <v>8.4</v>
      </c>
      <c r="V258" s="10">
        <v>0.9</v>
      </c>
      <c r="W258" s="10">
        <v>11.749116689999999</v>
      </c>
      <c r="X258">
        <v>0</v>
      </c>
      <c r="Y258" s="10">
        <f t="shared" si="6"/>
        <v>45.104541690000005</v>
      </c>
      <c r="Z258" s="10">
        <f t="shared" si="7"/>
        <v>11.76501464</v>
      </c>
    </row>
    <row r="259" spans="1:26" x14ac:dyDescent="0.2">
      <c r="A259" s="3" t="s">
        <v>568</v>
      </c>
      <c r="B259" s="3" t="s">
        <v>569</v>
      </c>
      <c r="C259" s="3" t="s">
        <v>2</v>
      </c>
      <c r="D259" s="3" t="s">
        <v>3</v>
      </c>
      <c r="E259" s="3" t="s">
        <v>4</v>
      </c>
      <c r="F259" s="3">
        <v>70.872</v>
      </c>
      <c r="G259" s="3">
        <v>79.171999999999997</v>
      </c>
      <c r="H259" s="3">
        <v>43131</v>
      </c>
      <c r="I259" s="3" t="s">
        <v>31</v>
      </c>
      <c r="J259" s="3" t="s">
        <v>6</v>
      </c>
      <c r="K259" s="3" t="s">
        <v>6</v>
      </c>
      <c r="L259" s="3">
        <v>39600</v>
      </c>
      <c r="M259" s="3">
        <v>36514</v>
      </c>
      <c r="N259" s="3" t="s">
        <v>7</v>
      </c>
      <c r="O259" s="3" t="s">
        <v>8</v>
      </c>
      <c r="P259" s="3" t="s">
        <v>6</v>
      </c>
      <c r="Q259" s="3" t="s">
        <v>6</v>
      </c>
      <c r="R259" s="10">
        <v>45.006468589999997</v>
      </c>
      <c r="S259" s="10">
        <v>45.076994190000001</v>
      </c>
      <c r="T259" s="10">
        <v>11.748531890000001</v>
      </c>
      <c r="U259" s="10">
        <v>5.5</v>
      </c>
      <c r="V259" s="10">
        <v>8.4</v>
      </c>
      <c r="W259" s="10">
        <v>11.78091259</v>
      </c>
      <c r="X259">
        <v>0</v>
      </c>
      <c r="Y259" s="10">
        <f t="shared" ref="Y259:Y308" si="8">IF(LEFT(A259,2)="TR",(S259+R259)/2,S259)</f>
        <v>45.041731389999995</v>
      </c>
      <c r="Z259" s="10">
        <f t="shared" ref="Z259:Z308" si="9">IF(LEFT(A259,2)="TR",(W259+T259)/2,W259)</f>
        <v>11.764722240000001</v>
      </c>
    </row>
    <row r="260" spans="1:26" x14ac:dyDescent="0.2">
      <c r="A260" s="3" t="s">
        <v>570</v>
      </c>
      <c r="B260" s="3" t="s">
        <v>571</v>
      </c>
      <c r="C260" s="3" t="s">
        <v>2</v>
      </c>
      <c r="D260" s="3" t="s">
        <v>3</v>
      </c>
      <c r="E260" s="3" t="s">
        <v>4</v>
      </c>
      <c r="F260" s="3">
        <v>65.594999999999999</v>
      </c>
      <c r="G260" s="3">
        <v>70.872</v>
      </c>
      <c r="H260" s="3">
        <v>43107</v>
      </c>
      <c r="I260" s="3" t="s">
        <v>31</v>
      </c>
      <c r="J260" s="3" t="s">
        <v>6</v>
      </c>
      <c r="K260" s="3" t="s">
        <v>6</v>
      </c>
      <c r="L260" s="3">
        <v>39600</v>
      </c>
      <c r="M260" s="3">
        <v>36514</v>
      </c>
      <c r="N260" s="3" t="s">
        <v>7</v>
      </c>
      <c r="O260" s="3" t="s">
        <v>8</v>
      </c>
      <c r="P260" s="3" t="s">
        <v>6</v>
      </c>
      <c r="Q260" s="3" t="s">
        <v>6</v>
      </c>
      <c r="R260" s="10">
        <v>44.961033890000003</v>
      </c>
      <c r="S260" s="10">
        <v>45.006468589999997</v>
      </c>
      <c r="T260" s="10">
        <v>11.738510399999999</v>
      </c>
      <c r="U260" s="10">
        <v>6.2</v>
      </c>
      <c r="V260" s="10">
        <v>5.5</v>
      </c>
      <c r="W260" s="10">
        <v>11.748531890000001</v>
      </c>
      <c r="X260">
        <v>0</v>
      </c>
      <c r="Y260" s="10">
        <f t="shared" si="8"/>
        <v>44.983751240000004</v>
      </c>
      <c r="Z260" s="10">
        <f t="shared" si="9"/>
        <v>11.743521144999999</v>
      </c>
    </row>
    <row r="261" spans="1:26" x14ac:dyDescent="0.2">
      <c r="A261" s="3" t="s">
        <v>572</v>
      </c>
      <c r="B261" s="3" t="s">
        <v>573</v>
      </c>
      <c r="C261" s="3" t="s">
        <v>2</v>
      </c>
      <c r="D261" s="3" t="s">
        <v>3</v>
      </c>
      <c r="E261" s="3" t="s">
        <v>4</v>
      </c>
      <c r="F261" s="3">
        <v>58.722000000000001</v>
      </c>
      <c r="G261" s="3">
        <v>65.594999999999999</v>
      </c>
      <c r="H261" s="3">
        <v>43131</v>
      </c>
      <c r="I261" s="3" t="s">
        <v>31</v>
      </c>
      <c r="J261" s="3" t="s">
        <v>6</v>
      </c>
      <c r="K261" s="3" t="s">
        <v>6</v>
      </c>
      <c r="L261" s="3"/>
      <c r="M261" s="3">
        <v>36514</v>
      </c>
      <c r="N261" s="3" t="s">
        <v>7</v>
      </c>
      <c r="O261" s="3" t="s">
        <v>8</v>
      </c>
      <c r="P261" s="3" t="s">
        <v>6</v>
      </c>
      <c r="Q261" s="3" t="s">
        <v>6</v>
      </c>
      <c r="R261" s="10">
        <v>44.923005699999997</v>
      </c>
      <c r="S261" s="10">
        <v>44.961033890000003</v>
      </c>
      <c r="T261" s="10">
        <v>11.67523609</v>
      </c>
      <c r="U261" s="10">
        <v>7</v>
      </c>
      <c r="V261" s="10">
        <v>6.2</v>
      </c>
      <c r="W261" s="10">
        <v>11.738510399999999</v>
      </c>
      <c r="X261">
        <v>0</v>
      </c>
      <c r="Y261" s="10">
        <f t="shared" si="8"/>
        <v>44.942019795</v>
      </c>
      <c r="Z261" s="10">
        <f t="shared" si="9"/>
        <v>11.706873245000001</v>
      </c>
    </row>
    <row r="262" spans="1:26" x14ac:dyDescent="0.2">
      <c r="A262" s="3" t="s">
        <v>574</v>
      </c>
      <c r="B262" s="3" t="s">
        <v>575</v>
      </c>
      <c r="C262" s="3" t="s">
        <v>2</v>
      </c>
      <c r="D262" s="3" t="s">
        <v>3</v>
      </c>
      <c r="E262" s="3" t="s">
        <v>4</v>
      </c>
      <c r="F262" s="3">
        <v>54</v>
      </c>
      <c r="G262" s="3">
        <v>58.722000000000001</v>
      </c>
      <c r="H262" s="3">
        <v>43107</v>
      </c>
      <c r="I262" s="3" t="s">
        <v>31</v>
      </c>
      <c r="J262" s="3" t="s">
        <v>6</v>
      </c>
      <c r="K262" s="3" t="s">
        <v>6</v>
      </c>
      <c r="L262" s="3">
        <v>39749</v>
      </c>
      <c r="M262" s="3">
        <v>36514</v>
      </c>
      <c r="N262" s="3" t="s">
        <v>7</v>
      </c>
      <c r="O262" s="3" t="s">
        <v>8</v>
      </c>
      <c r="P262" s="3" t="s">
        <v>6</v>
      </c>
      <c r="Q262" s="3" t="s">
        <v>6</v>
      </c>
      <c r="R262" s="10">
        <v>44.901435990000003</v>
      </c>
      <c r="S262" s="10">
        <v>44.923005699999997</v>
      </c>
      <c r="T262" s="10">
        <v>11.623936690000001</v>
      </c>
      <c r="U262" s="10">
        <v>6.7</v>
      </c>
      <c r="V262" s="10">
        <v>7</v>
      </c>
      <c r="W262" s="10">
        <v>11.67523609</v>
      </c>
      <c r="X262">
        <v>0</v>
      </c>
      <c r="Y262" s="10">
        <f t="shared" si="8"/>
        <v>44.912220845</v>
      </c>
      <c r="Z262" s="10">
        <f t="shared" si="9"/>
        <v>11.64958639</v>
      </c>
    </row>
    <row r="263" spans="1:26" x14ac:dyDescent="0.2">
      <c r="A263" s="3" t="s">
        <v>576</v>
      </c>
      <c r="B263" s="3" t="s">
        <v>577</v>
      </c>
      <c r="C263" s="3" t="s">
        <v>2</v>
      </c>
      <c r="D263" s="3" t="s">
        <v>3</v>
      </c>
      <c r="E263" s="3" t="s">
        <v>4</v>
      </c>
      <c r="F263" s="3">
        <v>0</v>
      </c>
      <c r="G263" s="3">
        <v>9.5570000000000004</v>
      </c>
      <c r="H263" s="3">
        <v>43131</v>
      </c>
      <c r="I263" s="3" t="s">
        <v>31</v>
      </c>
      <c r="J263" s="3" t="s">
        <v>6</v>
      </c>
      <c r="K263" s="3" t="s">
        <v>6</v>
      </c>
      <c r="L263" s="3"/>
      <c r="M263" s="3">
        <v>36514</v>
      </c>
      <c r="N263" s="3" t="s">
        <v>7</v>
      </c>
      <c r="O263" s="3" t="s">
        <v>8</v>
      </c>
      <c r="P263" s="3" t="s">
        <v>6</v>
      </c>
      <c r="Q263" s="3" t="s">
        <v>6</v>
      </c>
      <c r="R263" s="10">
        <v>45.050614090000003</v>
      </c>
      <c r="S263" s="10">
        <v>45.076994190000001</v>
      </c>
      <c r="T263" s="10">
        <v>11.870977890000001</v>
      </c>
      <c r="U263" s="10">
        <v>3.8</v>
      </c>
      <c r="V263" s="10">
        <v>8.4</v>
      </c>
      <c r="W263" s="10">
        <v>11.78091259</v>
      </c>
      <c r="X263">
        <v>0</v>
      </c>
      <c r="Y263" s="10">
        <f t="shared" si="8"/>
        <v>45.063804140000002</v>
      </c>
      <c r="Z263" s="10">
        <f t="shared" si="9"/>
        <v>11.825945239999999</v>
      </c>
    </row>
    <row r="264" spans="1:26" x14ac:dyDescent="0.2">
      <c r="A264" s="3" t="s">
        <v>578</v>
      </c>
      <c r="B264" s="3" t="s">
        <v>579</v>
      </c>
      <c r="C264" s="3" t="s">
        <v>2</v>
      </c>
      <c r="D264" s="3" t="s">
        <v>3</v>
      </c>
      <c r="E264" s="3" t="s">
        <v>4</v>
      </c>
      <c r="F264" s="3">
        <v>9.5570000000000004</v>
      </c>
      <c r="G264" s="3">
        <v>12.968</v>
      </c>
      <c r="H264" s="3">
        <v>43107</v>
      </c>
      <c r="I264" s="3" t="s">
        <v>31</v>
      </c>
      <c r="J264" s="3" t="s">
        <v>6</v>
      </c>
      <c r="K264" s="3" t="s">
        <v>6</v>
      </c>
      <c r="L264" s="3"/>
      <c r="M264" s="3">
        <v>36514</v>
      </c>
      <c r="N264" s="3" t="s">
        <v>7</v>
      </c>
      <c r="O264" s="3" t="s">
        <v>8</v>
      </c>
      <c r="P264" s="3" t="s">
        <v>6</v>
      </c>
      <c r="Q264" s="3" t="s">
        <v>6</v>
      </c>
      <c r="R264" s="10">
        <v>45.043459489999996</v>
      </c>
      <c r="S264" s="10">
        <v>45.050614090000003</v>
      </c>
      <c r="T264" s="10">
        <v>11.913137389999999</v>
      </c>
      <c r="U264" s="10">
        <v>2.4</v>
      </c>
      <c r="V264" s="10">
        <v>3.8</v>
      </c>
      <c r="W264" s="10">
        <v>11.870977890000001</v>
      </c>
      <c r="X264">
        <v>0</v>
      </c>
      <c r="Y264" s="10">
        <f t="shared" si="8"/>
        <v>45.04703679</v>
      </c>
      <c r="Z264" s="10">
        <f t="shared" si="9"/>
        <v>11.892057640000001</v>
      </c>
    </row>
    <row r="265" spans="1:26" x14ac:dyDescent="0.2">
      <c r="A265" s="3" t="s">
        <v>580</v>
      </c>
      <c r="B265" s="3" t="s">
        <v>581</v>
      </c>
      <c r="C265" s="3" t="s">
        <v>2</v>
      </c>
      <c r="D265" s="3" t="s">
        <v>3</v>
      </c>
      <c r="E265" s="3" t="s">
        <v>4</v>
      </c>
      <c r="F265" s="3">
        <v>12.968</v>
      </c>
      <c r="G265" s="3">
        <v>19.914000000000001</v>
      </c>
      <c r="H265" s="3">
        <v>43131</v>
      </c>
      <c r="I265" s="3" t="s">
        <v>31</v>
      </c>
      <c r="J265" s="3" t="s">
        <v>6</v>
      </c>
      <c r="K265" s="3" t="s">
        <v>6</v>
      </c>
      <c r="L265" s="3"/>
      <c r="M265" s="3">
        <v>36514</v>
      </c>
      <c r="N265" s="3" t="s">
        <v>7</v>
      </c>
      <c r="O265" s="3" t="s">
        <v>8</v>
      </c>
      <c r="P265" s="3" t="s">
        <v>6</v>
      </c>
      <c r="Q265" s="3" t="s">
        <v>6</v>
      </c>
      <c r="R265" s="10">
        <v>45.06088089</v>
      </c>
      <c r="S265" s="10">
        <v>45.043459489999996</v>
      </c>
      <c r="T265" s="10">
        <v>11.995361089999999</v>
      </c>
      <c r="U265" s="10">
        <v>2.2000000000000002</v>
      </c>
      <c r="V265" s="10">
        <v>2.4</v>
      </c>
      <c r="W265" s="10">
        <v>11.913137389999999</v>
      </c>
      <c r="X265">
        <v>0</v>
      </c>
      <c r="Y265" s="10">
        <f t="shared" si="8"/>
        <v>45.052170189999998</v>
      </c>
      <c r="Z265" s="10">
        <f t="shared" si="9"/>
        <v>11.954249239999999</v>
      </c>
    </row>
    <row r="266" spans="1:26" x14ac:dyDescent="0.2">
      <c r="A266" s="3" t="s">
        <v>582</v>
      </c>
      <c r="B266" s="3" t="s">
        <v>583</v>
      </c>
      <c r="C266" s="3" t="s">
        <v>2</v>
      </c>
      <c r="D266" s="3" t="s">
        <v>3</v>
      </c>
      <c r="E266" s="3" t="s">
        <v>4</v>
      </c>
      <c r="F266" s="3">
        <v>19.914000000000001</v>
      </c>
      <c r="G266" s="3">
        <v>24.556999999999999</v>
      </c>
      <c r="H266" s="3">
        <v>43131</v>
      </c>
      <c r="I266" s="3" t="s">
        <v>31</v>
      </c>
      <c r="J266" s="3" t="s">
        <v>6</v>
      </c>
      <c r="K266" s="3" t="s">
        <v>6</v>
      </c>
      <c r="L266" s="3"/>
      <c r="M266" s="3">
        <v>36514</v>
      </c>
      <c r="N266" s="3" t="s">
        <v>7</v>
      </c>
      <c r="O266" s="3" t="s">
        <v>8</v>
      </c>
      <c r="P266" s="3" t="s">
        <v>6</v>
      </c>
      <c r="Q266" s="3" t="s">
        <v>6</v>
      </c>
      <c r="R266" s="10">
        <v>45.060572290000003</v>
      </c>
      <c r="S266" s="10">
        <v>45.06088089</v>
      </c>
      <c r="T266" s="10">
        <v>12.054238890000001</v>
      </c>
      <c r="U266" s="10">
        <v>0</v>
      </c>
      <c r="V266" s="10">
        <v>2.2000000000000002</v>
      </c>
      <c r="W266" s="10">
        <v>11.995361089999999</v>
      </c>
      <c r="X266">
        <v>0</v>
      </c>
      <c r="Y266" s="10">
        <f t="shared" si="8"/>
        <v>45.060726590000002</v>
      </c>
      <c r="Z266" s="10">
        <f t="shared" si="9"/>
        <v>12.02479999</v>
      </c>
    </row>
    <row r="267" spans="1:26" x14ac:dyDescent="0.2">
      <c r="A267" s="3" t="s">
        <v>584</v>
      </c>
      <c r="B267" s="3" t="s">
        <v>585</v>
      </c>
      <c r="C267" s="3" t="s">
        <v>2</v>
      </c>
      <c r="D267" s="3" t="s">
        <v>3</v>
      </c>
      <c r="E267" s="3" t="s">
        <v>4</v>
      </c>
      <c r="F267" s="3">
        <v>24.556999999999999</v>
      </c>
      <c r="G267" s="3">
        <v>30.983000000000001</v>
      </c>
      <c r="H267" s="3">
        <v>43107</v>
      </c>
      <c r="I267" s="3" t="s">
        <v>31</v>
      </c>
      <c r="J267" s="3" t="s">
        <v>6</v>
      </c>
      <c r="K267" s="3" t="s">
        <v>6</v>
      </c>
      <c r="L267" s="3"/>
      <c r="M267" s="3">
        <v>36514</v>
      </c>
      <c r="N267" s="3" t="s">
        <v>7</v>
      </c>
      <c r="O267" s="3" t="s">
        <v>8</v>
      </c>
      <c r="P267" s="3" t="s">
        <v>6</v>
      </c>
      <c r="Q267" s="3" t="s">
        <v>6</v>
      </c>
      <c r="R267" s="10">
        <v>45.052198089999997</v>
      </c>
      <c r="S267" s="10">
        <v>45.060572290000003</v>
      </c>
      <c r="T267" s="10">
        <v>12.13490709</v>
      </c>
      <c r="U267" s="10">
        <v>0.4</v>
      </c>
      <c r="V267" s="10">
        <v>0</v>
      </c>
      <c r="W267" s="10">
        <v>12.054238890000001</v>
      </c>
      <c r="X267">
        <v>0</v>
      </c>
      <c r="Y267" s="10">
        <f t="shared" si="8"/>
        <v>45.05638519</v>
      </c>
      <c r="Z267" s="10">
        <f t="shared" si="9"/>
        <v>12.09457299</v>
      </c>
    </row>
    <row r="268" spans="1:26" x14ac:dyDescent="0.2">
      <c r="A268" s="3" t="s">
        <v>586</v>
      </c>
      <c r="B268" s="3" t="s">
        <v>587</v>
      </c>
      <c r="C268" s="3" t="s">
        <v>2</v>
      </c>
      <c r="D268" s="3" t="s">
        <v>3</v>
      </c>
      <c r="E268" s="3" t="s">
        <v>4</v>
      </c>
      <c r="F268" s="3">
        <v>30.983000000000001</v>
      </c>
      <c r="G268" s="3">
        <v>35.642000000000003</v>
      </c>
      <c r="H268" s="3">
        <v>43107</v>
      </c>
      <c r="I268" s="3" t="s">
        <v>31</v>
      </c>
      <c r="J268" s="3" t="s">
        <v>6</v>
      </c>
      <c r="K268" s="3" t="s">
        <v>6</v>
      </c>
      <c r="L268" s="3"/>
      <c r="M268" s="3">
        <v>36514</v>
      </c>
      <c r="N268" s="3" t="s">
        <v>7</v>
      </c>
      <c r="O268" s="3" t="s">
        <v>8</v>
      </c>
      <c r="P268" s="3" t="s">
        <v>6</v>
      </c>
      <c r="Q268" s="3" t="s">
        <v>6</v>
      </c>
      <c r="R268" s="10">
        <v>45.059464890000001</v>
      </c>
      <c r="S268" s="10">
        <v>45.052198089999997</v>
      </c>
      <c r="T268" s="10">
        <v>12.19158399</v>
      </c>
      <c r="U268" s="10">
        <v>0.7</v>
      </c>
      <c r="V268" s="10">
        <v>0.4</v>
      </c>
      <c r="W268" s="10">
        <v>12.13490709</v>
      </c>
      <c r="X268">
        <v>0</v>
      </c>
      <c r="Y268" s="10">
        <f t="shared" si="8"/>
        <v>45.055831490000003</v>
      </c>
      <c r="Z268" s="10">
        <f t="shared" si="9"/>
        <v>12.16324554</v>
      </c>
    </row>
    <row r="269" spans="1:26" x14ac:dyDescent="0.2">
      <c r="A269" s="3" t="s">
        <v>588</v>
      </c>
      <c r="B269" s="3" t="s">
        <v>589</v>
      </c>
      <c r="C269" s="3" t="s">
        <v>2</v>
      </c>
      <c r="D269" s="3" t="s">
        <v>3</v>
      </c>
      <c r="E269" s="3" t="s">
        <v>4</v>
      </c>
      <c r="F269" s="3">
        <v>35.642000000000003</v>
      </c>
      <c r="G269" s="3">
        <v>39.875999999999998</v>
      </c>
      <c r="H269" s="3">
        <v>43107</v>
      </c>
      <c r="I269" s="3" t="s">
        <v>31</v>
      </c>
      <c r="J269" s="3" t="s">
        <v>6</v>
      </c>
      <c r="K269" s="3" t="s">
        <v>6</v>
      </c>
      <c r="L269" s="3"/>
      <c r="M269" s="3">
        <v>36514</v>
      </c>
      <c r="N269" s="3" t="s">
        <v>7</v>
      </c>
      <c r="O269" s="3" t="s">
        <v>8</v>
      </c>
      <c r="P269" s="3" t="s">
        <v>6</v>
      </c>
      <c r="Q269" s="3" t="s">
        <v>6</v>
      </c>
      <c r="R269" s="10">
        <v>45.075536190000001</v>
      </c>
      <c r="S269" s="10">
        <v>45.059464890000001</v>
      </c>
      <c r="T269" s="10">
        <v>12.23967319</v>
      </c>
      <c r="U269" s="10">
        <v>0.6</v>
      </c>
      <c r="V269" s="10">
        <v>0.7</v>
      </c>
      <c r="W269" s="10">
        <v>12.19158399</v>
      </c>
      <c r="X269">
        <v>0</v>
      </c>
      <c r="Y269" s="10">
        <f t="shared" si="8"/>
        <v>45.067500539999997</v>
      </c>
      <c r="Z269" s="10">
        <f t="shared" si="9"/>
        <v>12.21562859</v>
      </c>
    </row>
    <row r="270" spans="1:26" x14ac:dyDescent="0.2">
      <c r="A270" s="3" t="s">
        <v>590</v>
      </c>
      <c r="B270" s="3" t="s">
        <v>591</v>
      </c>
      <c r="C270" s="3" t="s">
        <v>2</v>
      </c>
      <c r="D270" s="3" t="s">
        <v>3</v>
      </c>
      <c r="E270" s="3" t="s">
        <v>4</v>
      </c>
      <c r="F270" s="3">
        <v>39.875999999999998</v>
      </c>
      <c r="G270" s="3">
        <v>44.232999999999997</v>
      </c>
      <c r="H270" s="3">
        <v>43131</v>
      </c>
      <c r="I270" s="3" t="s">
        <v>31</v>
      </c>
      <c r="J270" s="3" t="s">
        <v>6</v>
      </c>
      <c r="K270" s="3" t="s">
        <v>6</v>
      </c>
      <c r="L270" s="3"/>
      <c r="M270" s="3">
        <v>36514</v>
      </c>
      <c r="N270" s="3" t="s">
        <v>7</v>
      </c>
      <c r="O270" s="3" t="s">
        <v>8</v>
      </c>
      <c r="P270" s="3" t="s">
        <v>6</v>
      </c>
      <c r="Q270" s="3" t="s">
        <v>6</v>
      </c>
      <c r="R270" s="10">
        <v>45.111253290000001</v>
      </c>
      <c r="S270" s="10">
        <v>45.075536190000001</v>
      </c>
      <c r="T270" s="10">
        <v>12.249331489999999</v>
      </c>
      <c r="U270" s="10">
        <v>6</v>
      </c>
      <c r="V270" s="10">
        <v>0.6</v>
      </c>
      <c r="W270" s="10">
        <v>12.23967319</v>
      </c>
      <c r="X270">
        <v>0</v>
      </c>
      <c r="Y270" s="10">
        <f t="shared" si="8"/>
        <v>45.093394740000001</v>
      </c>
      <c r="Z270" s="10">
        <f t="shared" si="9"/>
        <v>12.24450234</v>
      </c>
    </row>
    <row r="271" spans="1:26" x14ac:dyDescent="0.2">
      <c r="A271" s="3" t="s">
        <v>592</v>
      </c>
      <c r="B271" s="3" t="s">
        <v>593</v>
      </c>
      <c r="C271" s="3" t="s">
        <v>2</v>
      </c>
      <c r="D271" s="3" t="s">
        <v>3</v>
      </c>
      <c r="E271" s="3" t="s">
        <v>4</v>
      </c>
      <c r="F271" s="3">
        <v>44.232999999999997</v>
      </c>
      <c r="G271" s="3">
        <v>48.396000000000001</v>
      </c>
      <c r="H271" s="3">
        <v>43107</v>
      </c>
      <c r="I271" s="3" t="s">
        <v>31</v>
      </c>
      <c r="J271" s="3" t="s">
        <v>6</v>
      </c>
      <c r="K271" s="3" t="s">
        <v>6</v>
      </c>
      <c r="L271" s="3"/>
      <c r="M271" s="3">
        <v>36514</v>
      </c>
      <c r="N271" s="3" t="s">
        <v>7</v>
      </c>
      <c r="O271" s="3" t="s">
        <v>8</v>
      </c>
      <c r="P271" s="3" t="s">
        <v>6</v>
      </c>
      <c r="Q271" s="3" t="s">
        <v>6</v>
      </c>
      <c r="R271" s="10">
        <v>45.145694689999999</v>
      </c>
      <c r="S271" s="10">
        <v>45.111253290000001</v>
      </c>
      <c r="T271" s="10">
        <v>12.266953089999999</v>
      </c>
      <c r="U271" s="10">
        <v>2.2999999999999998</v>
      </c>
      <c r="V271" s="10">
        <v>6</v>
      </c>
      <c r="W271" s="10">
        <v>12.249331489999999</v>
      </c>
      <c r="X271">
        <v>0</v>
      </c>
      <c r="Y271" s="10">
        <f t="shared" si="8"/>
        <v>45.128473990000003</v>
      </c>
      <c r="Z271" s="10">
        <f t="shared" si="9"/>
        <v>12.258142289999999</v>
      </c>
    </row>
    <row r="272" spans="1:26" x14ac:dyDescent="0.2">
      <c r="A272" s="3" t="s">
        <v>594</v>
      </c>
      <c r="B272" s="3" t="s">
        <v>595</v>
      </c>
      <c r="C272" s="3" t="s">
        <v>2</v>
      </c>
      <c r="D272" s="3" t="s">
        <v>3</v>
      </c>
      <c r="E272" s="3" t="s">
        <v>4</v>
      </c>
      <c r="F272" s="3">
        <v>48.396000000000001</v>
      </c>
      <c r="G272" s="3">
        <v>55.792000000000002</v>
      </c>
      <c r="H272" s="3">
        <v>43131</v>
      </c>
      <c r="I272" s="3" t="s">
        <v>31</v>
      </c>
      <c r="J272" s="3" t="s">
        <v>6</v>
      </c>
      <c r="K272" s="3" t="s">
        <v>6</v>
      </c>
      <c r="L272" s="3"/>
      <c r="M272" s="3">
        <v>36514</v>
      </c>
      <c r="N272" s="3" t="s">
        <v>7</v>
      </c>
      <c r="O272" s="3" t="s">
        <v>8</v>
      </c>
      <c r="P272" s="3" t="s">
        <v>6</v>
      </c>
      <c r="Q272" s="3" t="s">
        <v>6</v>
      </c>
      <c r="R272" s="10">
        <v>45.21024079</v>
      </c>
      <c r="S272" s="10">
        <v>45.145694689999999</v>
      </c>
      <c r="T272" s="10">
        <v>12.275245890000001</v>
      </c>
      <c r="U272" s="10">
        <v>2</v>
      </c>
      <c r="V272" s="10">
        <v>2.2999999999999998</v>
      </c>
      <c r="W272" s="10">
        <v>12.266953089999999</v>
      </c>
      <c r="X272">
        <v>0</v>
      </c>
      <c r="Y272" s="10">
        <f t="shared" si="8"/>
        <v>45.17796774</v>
      </c>
      <c r="Z272" s="10">
        <f t="shared" si="9"/>
        <v>12.271099490000001</v>
      </c>
    </row>
    <row r="273" spans="1:26" x14ac:dyDescent="0.2">
      <c r="A273" s="3" t="s">
        <v>596</v>
      </c>
      <c r="B273" s="3" t="s">
        <v>597</v>
      </c>
      <c r="C273" s="3" t="s">
        <v>2</v>
      </c>
      <c r="D273" s="3" t="s">
        <v>3</v>
      </c>
      <c r="E273" s="3" t="s">
        <v>4</v>
      </c>
      <c r="F273" s="3">
        <v>0</v>
      </c>
      <c r="G273" s="3">
        <v>1.5069999999999999</v>
      </c>
      <c r="H273" s="3">
        <v>44111</v>
      </c>
      <c r="I273" s="3" t="s">
        <v>12</v>
      </c>
      <c r="J273" s="3" t="s">
        <v>6</v>
      </c>
      <c r="K273" s="3" t="s">
        <v>6</v>
      </c>
      <c r="L273" s="3">
        <v>39985</v>
      </c>
      <c r="M273" s="3">
        <v>40106</v>
      </c>
      <c r="N273" s="3" t="s">
        <v>7</v>
      </c>
      <c r="O273" s="3" t="s">
        <v>8</v>
      </c>
      <c r="P273" s="3" t="s">
        <v>6</v>
      </c>
      <c r="Q273" s="3" t="s">
        <v>6</v>
      </c>
      <c r="R273" s="10">
        <v>45.483417789999997</v>
      </c>
      <c r="S273" s="10">
        <v>45.482123889999997</v>
      </c>
      <c r="T273" s="10">
        <v>12.213835789999999</v>
      </c>
      <c r="U273" s="10">
        <v>3.9</v>
      </c>
      <c r="V273" s="10">
        <v>3.4</v>
      </c>
      <c r="W273" s="10">
        <v>12.23207539</v>
      </c>
      <c r="X273">
        <v>0</v>
      </c>
      <c r="Y273" s="10">
        <f t="shared" si="8"/>
        <v>45.482770840000001</v>
      </c>
      <c r="Z273" s="10">
        <f t="shared" si="9"/>
        <v>12.22295559</v>
      </c>
    </row>
    <row r="274" spans="1:26" x14ac:dyDescent="0.2">
      <c r="A274" s="3" t="s">
        <v>598</v>
      </c>
      <c r="B274" s="3" t="s">
        <v>599</v>
      </c>
      <c r="C274" s="3" t="s">
        <v>2</v>
      </c>
      <c r="D274" s="3" t="s">
        <v>3</v>
      </c>
      <c r="E274" s="3" t="s">
        <v>4</v>
      </c>
      <c r="F274" s="3">
        <v>0</v>
      </c>
      <c r="G274" s="3">
        <v>1.5069999999999999</v>
      </c>
      <c r="H274" s="3">
        <v>44111</v>
      </c>
      <c r="I274" s="3" t="s">
        <v>12</v>
      </c>
      <c r="J274" s="3" t="s">
        <v>6</v>
      </c>
      <c r="K274" s="3" t="s">
        <v>6</v>
      </c>
      <c r="L274" s="3">
        <v>39985</v>
      </c>
      <c r="M274" s="3">
        <v>40106</v>
      </c>
      <c r="N274" s="3" t="s">
        <v>7</v>
      </c>
      <c r="O274" s="3" t="s">
        <v>8</v>
      </c>
      <c r="P274" s="3" t="s">
        <v>6</v>
      </c>
      <c r="Q274" s="3" t="s">
        <v>6</v>
      </c>
      <c r="R274" s="10">
        <v>45.482123889999997</v>
      </c>
      <c r="S274" s="10">
        <v>45.483417789999997</v>
      </c>
      <c r="T274" s="10">
        <v>12.23207539</v>
      </c>
      <c r="U274" s="10">
        <v>3.4</v>
      </c>
      <c r="V274" s="10">
        <v>3.9</v>
      </c>
      <c r="W274" s="10">
        <v>12.213835789999999</v>
      </c>
      <c r="X274">
        <v>0</v>
      </c>
      <c r="Y274" s="10">
        <f t="shared" si="8"/>
        <v>45.482770840000001</v>
      </c>
      <c r="Z274" s="10">
        <f t="shared" si="9"/>
        <v>12.22295559</v>
      </c>
    </row>
    <row r="275" spans="1:26" x14ac:dyDescent="0.2">
      <c r="A275" s="3" t="s">
        <v>600</v>
      </c>
      <c r="B275" s="3" t="s">
        <v>601</v>
      </c>
      <c r="C275" s="3" t="s">
        <v>2</v>
      </c>
      <c r="D275" s="3" t="s">
        <v>3</v>
      </c>
      <c r="E275" s="3" t="s">
        <v>4</v>
      </c>
      <c r="F275" s="3">
        <v>256.39999999999998</v>
      </c>
      <c r="G275" s="3">
        <v>257.90699999999998</v>
      </c>
      <c r="H275" s="3">
        <v>44111</v>
      </c>
      <c r="I275" s="3" t="s">
        <v>12</v>
      </c>
      <c r="J275" s="3" t="s">
        <v>6</v>
      </c>
      <c r="K275" s="3" t="s">
        <v>6</v>
      </c>
      <c r="L275" s="3">
        <v>39086</v>
      </c>
      <c r="M275" s="3">
        <v>39435</v>
      </c>
      <c r="N275" s="3" t="s">
        <v>7</v>
      </c>
      <c r="O275" s="3" t="s">
        <v>8</v>
      </c>
      <c r="P275" s="3" t="s">
        <v>6</v>
      </c>
      <c r="Q275" s="3" t="s">
        <v>6</v>
      </c>
      <c r="R275" s="10">
        <v>45.482123889999997</v>
      </c>
      <c r="S275" s="10">
        <v>45.483417789999997</v>
      </c>
      <c r="T275" s="10">
        <v>12.23207539</v>
      </c>
      <c r="U275" s="10">
        <v>3.4</v>
      </c>
      <c r="V275" s="10">
        <v>3.9</v>
      </c>
      <c r="W275" s="10">
        <v>12.213835789999999</v>
      </c>
      <c r="X275">
        <v>0</v>
      </c>
      <c r="Y275" s="10">
        <f t="shared" si="8"/>
        <v>45.482770840000001</v>
      </c>
      <c r="Z275" s="10">
        <f t="shared" si="9"/>
        <v>12.22295559</v>
      </c>
    </row>
    <row r="276" spans="1:26" x14ac:dyDescent="0.2">
      <c r="A276" s="3" t="s">
        <v>602</v>
      </c>
      <c r="B276" s="3" t="s">
        <v>603</v>
      </c>
      <c r="C276" s="3" t="s">
        <v>2</v>
      </c>
      <c r="D276" s="3" t="s">
        <v>3</v>
      </c>
      <c r="E276" s="3" t="s">
        <v>4</v>
      </c>
      <c r="F276" s="3">
        <v>229.40799999999999</v>
      </c>
      <c r="G276" s="3">
        <v>230.61799999999999</v>
      </c>
      <c r="H276" s="3">
        <v>44111</v>
      </c>
      <c r="I276" s="3" t="s">
        <v>12</v>
      </c>
      <c r="J276" s="3" t="s">
        <v>6</v>
      </c>
      <c r="K276" s="3" t="s">
        <v>6</v>
      </c>
      <c r="L276" s="3">
        <v>39044</v>
      </c>
      <c r="M276" s="3">
        <v>39435</v>
      </c>
      <c r="N276" s="3" t="s">
        <v>7</v>
      </c>
      <c r="O276" s="3" t="s">
        <v>8</v>
      </c>
      <c r="P276" s="3" t="s">
        <v>6</v>
      </c>
      <c r="Q276" s="3" t="s">
        <v>6</v>
      </c>
      <c r="R276" s="10">
        <v>45.41915899</v>
      </c>
      <c r="S276" s="10">
        <v>45.417843490000003</v>
      </c>
      <c r="T276" s="10">
        <v>11.895946289999999</v>
      </c>
      <c r="U276" s="10">
        <v>10.8</v>
      </c>
      <c r="V276" s="10">
        <v>10.4</v>
      </c>
      <c r="W276" s="10">
        <v>11.88079739</v>
      </c>
      <c r="X276">
        <v>0</v>
      </c>
      <c r="Y276" s="10">
        <f t="shared" si="8"/>
        <v>45.418501239999998</v>
      </c>
      <c r="Z276" s="10">
        <f t="shared" si="9"/>
        <v>11.88837184</v>
      </c>
    </row>
    <row r="277" spans="1:26" x14ac:dyDescent="0.2">
      <c r="A277" s="3" t="s">
        <v>604</v>
      </c>
      <c r="B277" s="3" t="s">
        <v>605</v>
      </c>
      <c r="C277" s="3" t="s">
        <v>2</v>
      </c>
      <c r="D277" s="3" t="s">
        <v>3</v>
      </c>
      <c r="E277" s="3" t="s">
        <v>4</v>
      </c>
      <c r="F277" s="3">
        <v>0</v>
      </c>
      <c r="G277" s="3">
        <v>0.96699999999999997</v>
      </c>
      <c r="H277" s="3">
        <v>44111</v>
      </c>
      <c r="I277" s="3" t="s">
        <v>12</v>
      </c>
      <c r="J277" s="3" t="s">
        <v>6</v>
      </c>
      <c r="K277" s="3" t="s">
        <v>6</v>
      </c>
      <c r="L277" s="3"/>
      <c r="M277" s="3">
        <v>36514</v>
      </c>
      <c r="N277" s="3" t="s">
        <v>7</v>
      </c>
      <c r="O277" s="3" t="s">
        <v>8</v>
      </c>
      <c r="P277" s="3" t="s">
        <v>6</v>
      </c>
      <c r="Q277" s="3" t="s">
        <v>6</v>
      </c>
      <c r="R277" s="10">
        <v>45.486904099999997</v>
      </c>
      <c r="S277" s="10">
        <v>45.482123889999997</v>
      </c>
      <c r="T277" s="10">
        <v>12.22319469</v>
      </c>
      <c r="U277" s="10">
        <v>4</v>
      </c>
      <c r="V277" s="10">
        <v>3.4</v>
      </c>
      <c r="W277" s="10">
        <v>12.23207539</v>
      </c>
      <c r="X277">
        <v>0</v>
      </c>
      <c r="Y277" s="10">
        <f t="shared" si="8"/>
        <v>45.484513995</v>
      </c>
      <c r="Z277" s="10">
        <f t="shared" si="9"/>
        <v>12.227635039999999</v>
      </c>
    </row>
    <row r="278" spans="1:26" x14ac:dyDescent="0.2">
      <c r="A278" s="3" t="s">
        <v>606</v>
      </c>
      <c r="B278" s="3" t="s">
        <v>607</v>
      </c>
      <c r="C278" s="3" t="s">
        <v>11</v>
      </c>
      <c r="D278" s="3" t="s">
        <v>3</v>
      </c>
      <c r="E278" s="3" t="s">
        <v>4</v>
      </c>
      <c r="F278" s="3">
        <v>13.194000000000001</v>
      </c>
      <c r="G278" s="3">
        <v>16.917999999999999</v>
      </c>
      <c r="H278" s="3">
        <v>44111</v>
      </c>
      <c r="I278" s="3" t="s">
        <v>12</v>
      </c>
      <c r="J278" s="3" t="s">
        <v>6</v>
      </c>
      <c r="K278" s="3" t="s">
        <v>6</v>
      </c>
      <c r="L278" s="3"/>
      <c r="M278" s="3">
        <v>36514</v>
      </c>
      <c r="N278" s="3" t="s">
        <v>7</v>
      </c>
      <c r="O278" s="3" t="s">
        <v>8</v>
      </c>
      <c r="P278" s="3" t="s">
        <v>6</v>
      </c>
      <c r="Q278" s="3" t="s">
        <v>6</v>
      </c>
      <c r="R278" s="10">
        <v>45.621345990000002</v>
      </c>
      <c r="S278" s="10">
        <v>45.605027290000002</v>
      </c>
      <c r="T278" s="10">
        <v>11.714902090000001</v>
      </c>
      <c r="U278" s="10">
        <v>44.6</v>
      </c>
      <c r="V278" s="10">
        <v>42.7</v>
      </c>
      <c r="W278" s="10">
        <v>11.673173390000001</v>
      </c>
      <c r="X278">
        <v>0</v>
      </c>
      <c r="Y278" s="10">
        <f t="shared" si="8"/>
        <v>45.613186640000002</v>
      </c>
      <c r="Z278" s="10">
        <f t="shared" si="9"/>
        <v>11.694037740000001</v>
      </c>
    </row>
    <row r="279" spans="1:26" x14ac:dyDescent="0.2">
      <c r="A279" s="3" t="s">
        <v>608</v>
      </c>
      <c r="B279" s="3" t="s">
        <v>609</v>
      </c>
      <c r="C279" s="3" t="s">
        <v>11</v>
      </c>
      <c r="D279" s="3" t="s">
        <v>3</v>
      </c>
      <c r="E279" s="3" t="s">
        <v>4</v>
      </c>
      <c r="F279" s="3">
        <v>16.917999999999999</v>
      </c>
      <c r="G279" s="3">
        <v>19.962</v>
      </c>
      <c r="H279" s="3">
        <v>44111</v>
      </c>
      <c r="I279" s="3" t="s">
        <v>12</v>
      </c>
      <c r="J279" s="3" t="s">
        <v>6</v>
      </c>
      <c r="K279" s="3" t="s">
        <v>6</v>
      </c>
      <c r="L279" s="3"/>
      <c r="M279" s="3">
        <v>36514</v>
      </c>
      <c r="N279" s="3" t="s">
        <v>7</v>
      </c>
      <c r="O279" s="3" t="s">
        <v>8</v>
      </c>
      <c r="P279" s="3" t="s">
        <v>6</v>
      </c>
      <c r="Q279" s="3" t="s">
        <v>6</v>
      </c>
      <c r="R279" s="10">
        <v>45.634713589999997</v>
      </c>
      <c r="S279" s="10">
        <v>45.621345990000002</v>
      </c>
      <c r="T279" s="10">
        <v>11.749049189999999</v>
      </c>
      <c r="U279" s="10">
        <v>44.1</v>
      </c>
      <c r="V279" s="10">
        <v>44.6</v>
      </c>
      <c r="W279" s="10">
        <v>11.714902090000001</v>
      </c>
      <c r="X279">
        <v>0</v>
      </c>
      <c r="Y279" s="10">
        <f t="shared" si="8"/>
        <v>45.628029789999999</v>
      </c>
      <c r="Z279" s="10">
        <f t="shared" si="9"/>
        <v>11.73197564</v>
      </c>
    </row>
    <row r="280" spans="1:26" x14ac:dyDescent="0.2">
      <c r="A280" s="3" t="s">
        <v>610</v>
      </c>
      <c r="B280" s="3" t="s">
        <v>611</v>
      </c>
      <c r="C280" s="3" t="s">
        <v>2</v>
      </c>
      <c r="D280" s="3" t="s">
        <v>3</v>
      </c>
      <c r="E280" s="3" t="s">
        <v>4</v>
      </c>
      <c r="F280" s="3">
        <v>1.5069999999999999</v>
      </c>
      <c r="G280" s="3">
        <v>6.8090000000000002</v>
      </c>
      <c r="H280" s="3">
        <v>43107</v>
      </c>
      <c r="I280" s="3" t="s">
        <v>31</v>
      </c>
      <c r="J280" s="3" t="s">
        <v>6</v>
      </c>
      <c r="K280" s="3" t="s">
        <v>6</v>
      </c>
      <c r="L280" s="3">
        <v>39600</v>
      </c>
      <c r="M280" s="3">
        <v>39518</v>
      </c>
      <c r="N280" s="3" t="s">
        <v>7</v>
      </c>
      <c r="O280" s="3" t="s">
        <v>8</v>
      </c>
      <c r="P280" s="3" t="s">
        <v>6</v>
      </c>
      <c r="Q280" s="3" t="s">
        <v>6</v>
      </c>
      <c r="R280" s="10">
        <v>45.483417789999997</v>
      </c>
      <c r="S280" s="10">
        <v>45.489361100000004</v>
      </c>
      <c r="T280" s="10">
        <v>12.213835789999999</v>
      </c>
      <c r="U280" s="10">
        <v>3.9</v>
      </c>
      <c r="V280" s="10">
        <v>6.4</v>
      </c>
      <c r="W280" s="10">
        <v>12.17569499</v>
      </c>
      <c r="X280">
        <v>0</v>
      </c>
      <c r="Y280" s="10">
        <f t="shared" si="8"/>
        <v>45.486389445</v>
      </c>
      <c r="Z280" s="10">
        <f t="shared" si="9"/>
        <v>12.194765390000001</v>
      </c>
    </row>
    <row r="281" spans="1:26" x14ac:dyDescent="0.2">
      <c r="A281" s="3" t="s">
        <v>612</v>
      </c>
      <c r="B281" s="3" t="s">
        <v>613</v>
      </c>
      <c r="C281" s="3" t="s">
        <v>2</v>
      </c>
      <c r="D281" s="3" t="s">
        <v>3</v>
      </c>
      <c r="E281" s="3" t="s">
        <v>4</v>
      </c>
      <c r="F281" s="3">
        <v>6.8090000000000002</v>
      </c>
      <c r="G281" s="3">
        <v>7.016</v>
      </c>
      <c r="H281" s="3">
        <v>43107</v>
      </c>
      <c r="I281" s="3" t="s">
        <v>31</v>
      </c>
      <c r="J281" s="3" t="s">
        <v>6</v>
      </c>
      <c r="K281" s="3" t="s">
        <v>6</v>
      </c>
      <c r="L281" s="3">
        <v>39600</v>
      </c>
      <c r="M281" s="3">
        <v>39518</v>
      </c>
      <c r="N281" s="3" t="s">
        <v>7</v>
      </c>
      <c r="O281" s="3" t="s">
        <v>8</v>
      </c>
      <c r="P281" s="3" t="s">
        <v>6</v>
      </c>
      <c r="Q281" s="3" t="s">
        <v>6</v>
      </c>
      <c r="R281" s="10">
        <v>45.489361100000004</v>
      </c>
      <c r="S281" s="10">
        <v>45.490245790000003</v>
      </c>
      <c r="T281" s="10">
        <v>12.17569499</v>
      </c>
      <c r="U281" s="10">
        <v>6.4</v>
      </c>
      <c r="V281" s="10">
        <v>8.8000000000000007</v>
      </c>
      <c r="W281" s="10">
        <v>12.176267490000001</v>
      </c>
      <c r="X281">
        <v>0</v>
      </c>
      <c r="Y281" s="10">
        <f t="shared" si="8"/>
        <v>45.489803445000007</v>
      </c>
      <c r="Z281" s="10">
        <f t="shared" si="9"/>
        <v>12.17598124</v>
      </c>
    </row>
    <row r="282" spans="1:26" x14ac:dyDescent="0.2">
      <c r="A282" s="3" t="s">
        <v>614</v>
      </c>
      <c r="B282" s="3" t="s">
        <v>615</v>
      </c>
      <c r="C282" s="3" t="s">
        <v>2</v>
      </c>
      <c r="D282" s="3" t="s">
        <v>3</v>
      </c>
      <c r="E282" s="3" t="s">
        <v>4</v>
      </c>
      <c r="F282" s="3">
        <v>7.016</v>
      </c>
      <c r="G282" s="3">
        <v>10.492000000000001</v>
      </c>
      <c r="H282" s="3">
        <v>43107</v>
      </c>
      <c r="I282" s="3" t="s">
        <v>31</v>
      </c>
      <c r="J282" s="3" t="s">
        <v>6</v>
      </c>
      <c r="K282" s="3" t="s">
        <v>6</v>
      </c>
      <c r="L282" s="3">
        <v>39600</v>
      </c>
      <c r="M282" s="3">
        <v>39518</v>
      </c>
      <c r="N282" s="3" t="s">
        <v>7</v>
      </c>
      <c r="O282" s="3" t="s">
        <v>8</v>
      </c>
      <c r="P282" s="3" t="s">
        <v>6</v>
      </c>
      <c r="Q282" s="3" t="s">
        <v>6</v>
      </c>
      <c r="R282" s="10">
        <v>45.490245790000003</v>
      </c>
      <c r="S282" s="10">
        <v>45.514426989999997</v>
      </c>
      <c r="T282" s="10">
        <v>12.176267490000001</v>
      </c>
      <c r="U282" s="10">
        <v>8.8000000000000007</v>
      </c>
      <c r="V282" s="10">
        <v>8</v>
      </c>
      <c r="W282" s="10">
        <v>12.15135699</v>
      </c>
      <c r="X282">
        <v>0</v>
      </c>
      <c r="Y282" s="10">
        <f t="shared" si="8"/>
        <v>45.502336389999996</v>
      </c>
      <c r="Z282" s="10">
        <f t="shared" si="9"/>
        <v>12.16381224</v>
      </c>
    </row>
    <row r="283" spans="1:26" x14ac:dyDescent="0.2">
      <c r="A283" s="3" t="s">
        <v>616</v>
      </c>
      <c r="B283" s="3" t="s">
        <v>617</v>
      </c>
      <c r="C283" s="3" t="s">
        <v>2</v>
      </c>
      <c r="D283" s="3" t="s">
        <v>3</v>
      </c>
      <c r="E283" s="3" t="s">
        <v>4</v>
      </c>
      <c r="F283" s="3">
        <v>0</v>
      </c>
      <c r="G283" s="3">
        <v>1.3280000000000001</v>
      </c>
      <c r="H283" s="3">
        <v>44111</v>
      </c>
      <c r="I283" s="3" t="s">
        <v>12</v>
      </c>
      <c r="J283" s="3" t="s">
        <v>6</v>
      </c>
      <c r="K283" s="3" t="s">
        <v>6</v>
      </c>
      <c r="L283" s="3"/>
      <c r="M283" s="3">
        <v>36514</v>
      </c>
      <c r="N283" s="3" t="s">
        <v>7</v>
      </c>
      <c r="O283" s="3" t="s">
        <v>8</v>
      </c>
      <c r="P283" s="3" t="s">
        <v>6</v>
      </c>
      <c r="Q283" s="3" t="s">
        <v>6</v>
      </c>
      <c r="R283" s="10">
        <v>45.441705489999997</v>
      </c>
      <c r="S283" s="10">
        <v>45.449839590000003</v>
      </c>
      <c r="T283" s="10">
        <v>12.31778059</v>
      </c>
      <c r="U283" s="10">
        <v>2</v>
      </c>
      <c r="V283" s="10">
        <v>0</v>
      </c>
      <c r="W283" s="10">
        <v>12.30614059</v>
      </c>
      <c r="X283">
        <v>0</v>
      </c>
      <c r="Y283" s="10">
        <f t="shared" si="8"/>
        <v>45.44577254</v>
      </c>
      <c r="Z283" s="10">
        <f t="shared" si="9"/>
        <v>12.31196059</v>
      </c>
    </row>
    <row r="284" spans="1:26" x14ac:dyDescent="0.2">
      <c r="A284" s="3" t="s">
        <v>618</v>
      </c>
      <c r="B284" s="3" t="s">
        <v>619</v>
      </c>
      <c r="C284" s="3" t="s">
        <v>2</v>
      </c>
      <c r="D284" s="3" t="s">
        <v>3</v>
      </c>
      <c r="E284" s="3" t="s">
        <v>4</v>
      </c>
      <c r="F284" s="3">
        <v>0</v>
      </c>
      <c r="G284" s="3">
        <v>2.2320000000000002</v>
      </c>
      <c r="H284" s="3">
        <v>43107</v>
      </c>
      <c r="I284" s="3" t="s">
        <v>31</v>
      </c>
      <c r="J284" s="3" t="s">
        <v>6</v>
      </c>
      <c r="K284" s="3" t="s">
        <v>6</v>
      </c>
      <c r="L284" s="3">
        <v>38848</v>
      </c>
      <c r="M284" s="3">
        <v>39372</v>
      </c>
      <c r="N284" s="3" t="s">
        <v>7</v>
      </c>
      <c r="O284" s="3" t="s">
        <v>8</v>
      </c>
      <c r="P284" s="3" t="s">
        <v>6</v>
      </c>
      <c r="Q284" s="3" t="s">
        <v>6</v>
      </c>
      <c r="R284" s="10">
        <v>45.46690649</v>
      </c>
      <c r="S284" s="10">
        <v>45.482123889999997</v>
      </c>
      <c r="T284" s="10">
        <v>12.242832290000001</v>
      </c>
      <c r="U284" s="10">
        <v>2.8</v>
      </c>
      <c r="V284" s="10">
        <v>3.4</v>
      </c>
      <c r="W284" s="10">
        <v>12.23207539</v>
      </c>
      <c r="X284">
        <v>0</v>
      </c>
      <c r="Y284" s="11">
        <v>45.471465000000002</v>
      </c>
      <c r="Z284" s="11">
        <v>12.238538</v>
      </c>
    </row>
    <row r="285" spans="1:26" x14ac:dyDescent="0.2">
      <c r="A285" s="3" t="s">
        <v>620</v>
      </c>
      <c r="B285" s="3" t="s">
        <v>621</v>
      </c>
      <c r="C285" s="3" t="s">
        <v>2</v>
      </c>
      <c r="D285" s="3" t="s">
        <v>3</v>
      </c>
      <c r="E285" s="3" t="s">
        <v>4</v>
      </c>
      <c r="F285" s="3">
        <v>219.928</v>
      </c>
      <c r="G285" s="3">
        <v>227.559</v>
      </c>
      <c r="H285" s="3">
        <v>43107</v>
      </c>
      <c r="I285" s="3" t="s">
        <v>31</v>
      </c>
      <c r="J285" s="3" t="s">
        <v>6</v>
      </c>
      <c r="K285" s="3" t="s">
        <v>6</v>
      </c>
      <c r="L285" s="3"/>
      <c r="M285" s="3">
        <v>36514</v>
      </c>
      <c r="N285" s="3" t="s">
        <v>7</v>
      </c>
      <c r="O285" s="3" t="s">
        <v>8</v>
      </c>
      <c r="P285" s="3" t="s">
        <v>6</v>
      </c>
      <c r="Q285" s="3" t="s">
        <v>6</v>
      </c>
      <c r="R285" s="10">
        <v>45.425147289999998</v>
      </c>
      <c r="S285" s="10">
        <v>45.45787009</v>
      </c>
      <c r="T285" s="10">
        <v>11.85976449</v>
      </c>
      <c r="U285" s="10">
        <v>11.3</v>
      </c>
      <c r="V285" s="10">
        <v>20.8</v>
      </c>
      <c r="W285" s="10">
        <v>11.7738631</v>
      </c>
      <c r="X285">
        <v>0</v>
      </c>
      <c r="Y285" s="10">
        <f t="shared" si="8"/>
        <v>45.441508689999999</v>
      </c>
      <c r="Z285" s="10">
        <f t="shared" si="9"/>
        <v>11.816813795</v>
      </c>
    </row>
    <row r="286" spans="1:26" x14ac:dyDescent="0.2">
      <c r="A286" s="3" t="s">
        <v>622</v>
      </c>
      <c r="B286" s="3" t="s">
        <v>623</v>
      </c>
      <c r="C286" s="3" t="s">
        <v>2</v>
      </c>
      <c r="D286" s="3" t="s">
        <v>3</v>
      </c>
      <c r="E286" s="3" t="s">
        <v>4</v>
      </c>
      <c r="F286" s="3">
        <v>227.559</v>
      </c>
      <c r="G286" s="3">
        <v>229.40799999999999</v>
      </c>
      <c r="H286" s="3">
        <v>44111</v>
      </c>
      <c r="I286" s="3" t="s">
        <v>12</v>
      </c>
      <c r="J286" s="3" t="s">
        <v>6</v>
      </c>
      <c r="K286" s="3" t="s">
        <v>6</v>
      </c>
      <c r="L286" s="3"/>
      <c r="M286" s="3">
        <v>36514</v>
      </c>
      <c r="N286" s="3" t="s">
        <v>7</v>
      </c>
      <c r="O286" s="3" t="s">
        <v>8</v>
      </c>
      <c r="P286" s="3" t="s">
        <v>6</v>
      </c>
      <c r="Q286" s="3" t="s">
        <v>6</v>
      </c>
      <c r="R286" s="10">
        <v>45.417843490000003</v>
      </c>
      <c r="S286" s="10">
        <v>45.425147289999998</v>
      </c>
      <c r="T286" s="10">
        <v>11.88079739</v>
      </c>
      <c r="U286" s="10">
        <v>10.4</v>
      </c>
      <c r="V286" s="10">
        <v>11.3</v>
      </c>
      <c r="W286" s="10">
        <v>11.85976449</v>
      </c>
      <c r="X286">
        <v>0</v>
      </c>
      <c r="Y286" s="10">
        <f t="shared" si="8"/>
        <v>45.421495390000004</v>
      </c>
      <c r="Z286" s="10">
        <f t="shared" si="9"/>
        <v>11.870280940000001</v>
      </c>
    </row>
    <row r="287" spans="1:26" x14ac:dyDescent="0.2">
      <c r="A287" s="3" t="s">
        <v>624</v>
      </c>
      <c r="B287" s="3" t="s">
        <v>625</v>
      </c>
      <c r="C287" s="3" t="s">
        <v>2</v>
      </c>
      <c r="D287" s="3" t="s">
        <v>3</v>
      </c>
      <c r="E287" s="3" t="s">
        <v>4</v>
      </c>
      <c r="F287" s="3">
        <v>0</v>
      </c>
      <c r="G287" s="3">
        <v>1.9350000000000001</v>
      </c>
      <c r="H287" s="3">
        <v>43107</v>
      </c>
      <c r="I287" s="3" t="s">
        <v>31</v>
      </c>
      <c r="J287" s="3" t="s">
        <v>6</v>
      </c>
      <c r="K287" s="3" t="s">
        <v>6</v>
      </c>
      <c r="L287" s="3"/>
      <c r="M287" s="3">
        <v>36514</v>
      </c>
      <c r="N287" s="3" t="s">
        <v>7</v>
      </c>
      <c r="O287" s="3" t="s">
        <v>8</v>
      </c>
      <c r="P287" s="3" t="s">
        <v>6</v>
      </c>
      <c r="Q287" s="3" t="s">
        <v>6</v>
      </c>
      <c r="R287" s="10">
        <v>45.407755090000002</v>
      </c>
      <c r="S287" s="10">
        <v>45.425147289999998</v>
      </c>
      <c r="T287" s="10">
        <v>11.85264349</v>
      </c>
      <c r="U287" s="10">
        <v>13.8</v>
      </c>
      <c r="V287" s="10">
        <v>11.3</v>
      </c>
      <c r="W287" s="10">
        <v>11.85976449</v>
      </c>
      <c r="X287">
        <v>0</v>
      </c>
      <c r="Y287" s="10">
        <f t="shared" si="8"/>
        <v>45.416451190000004</v>
      </c>
      <c r="Z287" s="10">
        <f t="shared" si="9"/>
        <v>11.856203990000001</v>
      </c>
    </row>
    <row r="288" spans="1:26" x14ac:dyDescent="0.2">
      <c r="A288" s="3" t="s">
        <v>626</v>
      </c>
      <c r="B288" s="3" t="s">
        <v>627</v>
      </c>
      <c r="C288" s="3" t="s">
        <v>11</v>
      </c>
      <c r="D288" s="3" t="s">
        <v>3</v>
      </c>
      <c r="E288" s="3" t="s">
        <v>4</v>
      </c>
      <c r="F288" s="3">
        <v>0</v>
      </c>
      <c r="G288" s="3">
        <v>7.1449999999999996</v>
      </c>
      <c r="H288" s="3">
        <v>43132</v>
      </c>
      <c r="I288" s="3" t="s">
        <v>31</v>
      </c>
      <c r="J288" s="3" t="s">
        <v>6</v>
      </c>
      <c r="K288" s="3" t="s">
        <v>6</v>
      </c>
      <c r="L288" s="3"/>
      <c r="M288" s="3">
        <v>36514</v>
      </c>
      <c r="N288" s="3" t="s">
        <v>7</v>
      </c>
      <c r="O288" s="3" t="s">
        <v>8</v>
      </c>
      <c r="P288" s="3" t="s">
        <v>6</v>
      </c>
      <c r="Q288" s="3" t="s">
        <v>6</v>
      </c>
      <c r="R288" s="10">
        <v>45.677953789999997</v>
      </c>
      <c r="S288" s="10">
        <v>45.659600990000001</v>
      </c>
      <c r="T288" s="10">
        <v>12.329887100000001</v>
      </c>
      <c r="U288" s="10">
        <v>13.9</v>
      </c>
      <c r="V288" s="10">
        <v>18.600000000000001</v>
      </c>
      <c r="W288" s="10">
        <v>12.24615039</v>
      </c>
      <c r="X288">
        <v>0</v>
      </c>
      <c r="Y288" s="10">
        <f t="shared" si="8"/>
        <v>45.668777390000002</v>
      </c>
      <c r="Z288" s="10">
        <f t="shared" si="9"/>
        <v>12.288018745</v>
      </c>
    </row>
    <row r="289" spans="1:26" x14ac:dyDescent="0.2">
      <c r="A289" s="3" t="s">
        <v>628</v>
      </c>
      <c r="B289" s="3" t="s">
        <v>629</v>
      </c>
      <c r="C289" s="3" t="s">
        <v>11</v>
      </c>
      <c r="D289" s="3" t="s">
        <v>3</v>
      </c>
      <c r="E289" s="3" t="s">
        <v>4</v>
      </c>
      <c r="F289" s="3">
        <v>7.1449999999999996</v>
      </c>
      <c r="G289" s="3">
        <v>11.000999999999999</v>
      </c>
      <c r="H289" s="3">
        <v>43132</v>
      </c>
      <c r="I289" s="3" t="s">
        <v>31</v>
      </c>
      <c r="J289" s="3" t="s">
        <v>6</v>
      </c>
      <c r="K289" s="3" t="s">
        <v>6</v>
      </c>
      <c r="L289" s="3"/>
      <c r="M289" s="3">
        <v>36514</v>
      </c>
      <c r="N289" s="3" t="s">
        <v>7</v>
      </c>
      <c r="O289" s="3" t="s">
        <v>8</v>
      </c>
      <c r="P289" s="3" t="s">
        <v>6</v>
      </c>
      <c r="Q289" s="3" t="s">
        <v>6</v>
      </c>
      <c r="R289" s="10">
        <v>45.68663789</v>
      </c>
      <c r="S289" s="10">
        <v>45.677953789999997</v>
      </c>
      <c r="T289" s="10">
        <v>12.37707159</v>
      </c>
      <c r="U289" s="10">
        <v>12.5</v>
      </c>
      <c r="V289" s="10">
        <v>13.9</v>
      </c>
      <c r="W289" s="10">
        <v>12.329887100000001</v>
      </c>
      <c r="X289">
        <v>0</v>
      </c>
      <c r="Y289" s="10">
        <f t="shared" si="8"/>
        <v>45.682295839999995</v>
      </c>
      <c r="Z289" s="10">
        <f t="shared" si="9"/>
        <v>12.353479345</v>
      </c>
    </row>
    <row r="290" spans="1:26" x14ac:dyDescent="0.2">
      <c r="A290" s="3" t="s">
        <v>630</v>
      </c>
      <c r="B290" s="3" t="s">
        <v>631</v>
      </c>
      <c r="C290" s="3" t="s">
        <v>11</v>
      </c>
      <c r="D290" s="3" t="s">
        <v>3</v>
      </c>
      <c r="E290" s="3" t="s">
        <v>4</v>
      </c>
      <c r="F290" s="3">
        <v>11.000999999999999</v>
      </c>
      <c r="G290" s="3">
        <v>16.25</v>
      </c>
      <c r="H290" s="3">
        <v>43132</v>
      </c>
      <c r="I290" s="3" t="s">
        <v>31</v>
      </c>
      <c r="J290" s="3" t="s">
        <v>6</v>
      </c>
      <c r="K290" s="3" t="s">
        <v>6</v>
      </c>
      <c r="L290" s="3"/>
      <c r="M290" s="3">
        <v>36514</v>
      </c>
      <c r="N290" s="3" t="s">
        <v>7</v>
      </c>
      <c r="O290" s="3" t="s">
        <v>8</v>
      </c>
      <c r="P290" s="3" t="s">
        <v>6</v>
      </c>
      <c r="Q290" s="3" t="s">
        <v>6</v>
      </c>
      <c r="R290" s="10">
        <v>45.706019490000003</v>
      </c>
      <c r="S290" s="10">
        <v>45.68663789</v>
      </c>
      <c r="T290" s="10">
        <v>12.439393689999999</v>
      </c>
      <c r="U290" s="10">
        <v>12.9</v>
      </c>
      <c r="V290" s="10">
        <v>12.5</v>
      </c>
      <c r="W290" s="10">
        <v>12.37707159</v>
      </c>
      <c r="X290">
        <v>0</v>
      </c>
      <c r="Y290" s="10">
        <f t="shared" si="8"/>
        <v>45.696328690000001</v>
      </c>
      <c r="Z290" s="10">
        <f t="shared" si="9"/>
        <v>12.40823264</v>
      </c>
    </row>
    <row r="291" spans="1:26" x14ac:dyDescent="0.2">
      <c r="A291" s="3" t="s">
        <v>632</v>
      </c>
      <c r="B291" s="3" t="s">
        <v>633</v>
      </c>
      <c r="C291" s="3" t="s">
        <v>11</v>
      </c>
      <c r="D291" s="3" t="s">
        <v>3</v>
      </c>
      <c r="E291" s="3" t="s">
        <v>4</v>
      </c>
      <c r="F291" s="3">
        <v>16.25</v>
      </c>
      <c r="G291" s="3">
        <v>18.645</v>
      </c>
      <c r="H291" s="3">
        <v>43132</v>
      </c>
      <c r="I291" s="3" t="s">
        <v>31</v>
      </c>
      <c r="J291" s="3" t="s">
        <v>6</v>
      </c>
      <c r="K291" s="3" t="s">
        <v>6</v>
      </c>
      <c r="L291" s="3"/>
      <c r="M291" s="3">
        <v>36514</v>
      </c>
      <c r="N291" s="3" t="s">
        <v>7</v>
      </c>
      <c r="O291" s="3" t="s">
        <v>8</v>
      </c>
      <c r="P291" s="3" t="s">
        <v>6</v>
      </c>
      <c r="Q291" s="3" t="s">
        <v>6</v>
      </c>
      <c r="R291" s="10">
        <v>45.71961529</v>
      </c>
      <c r="S291" s="10">
        <v>45.706019490000003</v>
      </c>
      <c r="T291" s="10">
        <v>12.460689589999999</v>
      </c>
      <c r="U291" s="10">
        <v>10.9</v>
      </c>
      <c r="V291" s="10">
        <v>12.9</v>
      </c>
      <c r="W291" s="10">
        <v>12.439393689999999</v>
      </c>
      <c r="X291">
        <v>0</v>
      </c>
      <c r="Y291" s="10">
        <f t="shared" si="8"/>
        <v>45.712817389999998</v>
      </c>
      <c r="Z291" s="10">
        <f t="shared" si="9"/>
        <v>12.450041639999998</v>
      </c>
    </row>
    <row r="292" spans="1:26" x14ac:dyDescent="0.2">
      <c r="A292" s="3" t="s">
        <v>634</v>
      </c>
      <c r="B292" s="3" t="s">
        <v>635</v>
      </c>
      <c r="C292" s="3" t="s">
        <v>11</v>
      </c>
      <c r="D292" s="3" t="s">
        <v>3</v>
      </c>
      <c r="E292" s="3" t="s">
        <v>4</v>
      </c>
      <c r="F292" s="3">
        <v>18.645</v>
      </c>
      <c r="G292" s="3">
        <v>25.47</v>
      </c>
      <c r="H292" s="3">
        <v>43132</v>
      </c>
      <c r="I292" s="3" t="s">
        <v>31</v>
      </c>
      <c r="J292" s="3" t="s">
        <v>6</v>
      </c>
      <c r="K292" s="3" t="s">
        <v>6</v>
      </c>
      <c r="L292" s="3"/>
      <c r="M292" s="3">
        <v>36514</v>
      </c>
      <c r="N292" s="3" t="s">
        <v>7</v>
      </c>
      <c r="O292" s="3" t="s">
        <v>8</v>
      </c>
      <c r="P292" s="3" t="s">
        <v>6</v>
      </c>
      <c r="Q292" s="3" t="s">
        <v>6</v>
      </c>
      <c r="R292" s="10">
        <v>45.77494119</v>
      </c>
      <c r="S292" s="10">
        <v>45.71961529</v>
      </c>
      <c r="T292" s="10">
        <v>12.49111989</v>
      </c>
      <c r="U292" s="10">
        <v>11.4</v>
      </c>
      <c r="V292" s="10">
        <v>10.9</v>
      </c>
      <c r="W292" s="10">
        <v>12.460689589999999</v>
      </c>
      <c r="X292">
        <v>0</v>
      </c>
      <c r="Y292" s="10">
        <f t="shared" si="8"/>
        <v>45.74727824</v>
      </c>
      <c r="Z292" s="10">
        <f t="shared" si="9"/>
        <v>12.475904740000001</v>
      </c>
    </row>
    <row r="293" spans="1:26" x14ac:dyDescent="0.2">
      <c r="A293" s="3" t="s">
        <v>636</v>
      </c>
      <c r="B293" s="3" t="s">
        <v>637</v>
      </c>
      <c r="C293" s="3" t="s">
        <v>11</v>
      </c>
      <c r="D293" s="3" t="s">
        <v>3</v>
      </c>
      <c r="E293" s="3" t="s">
        <v>4</v>
      </c>
      <c r="F293" s="3">
        <v>25.47</v>
      </c>
      <c r="G293" s="3">
        <v>30.588000000000001</v>
      </c>
      <c r="H293" s="3">
        <v>43107</v>
      </c>
      <c r="I293" s="3" t="s">
        <v>31</v>
      </c>
      <c r="J293" s="3" t="s">
        <v>6</v>
      </c>
      <c r="K293" s="3" t="s">
        <v>6</v>
      </c>
      <c r="L293" s="3"/>
      <c r="M293" s="3">
        <v>36514</v>
      </c>
      <c r="N293" s="3" t="s">
        <v>7</v>
      </c>
      <c r="O293" s="3" t="s">
        <v>8</v>
      </c>
      <c r="P293" s="3" t="s">
        <v>6</v>
      </c>
      <c r="Q293" s="3" t="s">
        <v>6</v>
      </c>
      <c r="R293" s="10">
        <v>45.784437789999998</v>
      </c>
      <c r="S293" s="10">
        <v>45.77494119</v>
      </c>
      <c r="T293" s="10">
        <v>12.55374889</v>
      </c>
      <c r="U293" s="10">
        <v>9.6</v>
      </c>
      <c r="V293" s="10">
        <v>11.4</v>
      </c>
      <c r="W293" s="10">
        <v>12.49111989</v>
      </c>
      <c r="X293">
        <v>0</v>
      </c>
      <c r="Y293" s="10">
        <f t="shared" si="8"/>
        <v>45.779689489999996</v>
      </c>
      <c r="Z293" s="10">
        <f t="shared" si="9"/>
        <v>12.522434390000001</v>
      </c>
    </row>
    <row r="294" spans="1:26" x14ac:dyDescent="0.2">
      <c r="A294" s="3" t="s">
        <v>638</v>
      </c>
      <c r="B294" s="3" t="s">
        <v>639</v>
      </c>
      <c r="C294" s="3" t="s">
        <v>11</v>
      </c>
      <c r="D294" s="3" t="s">
        <v>3</v>
      </c>
      <c r="E294" s="3" t="s">
        <v>4</v>
      </c>
      <c r="F294" s="3">
        <v>30.588000000000001</v>
      </c>
      <c r="G294" s="3">
        <v>34.729999999999997</v>
      </c>
      <c r="H294" s="3">
        <v>43132</v>
      </c>
      <c r="I294" s="3" t="s">
        <v>31</v>
      </c>
      <c r="J294" s="3" t="s">
        <v>6</v>
      </c>
      <c r="K294" s="3" t="s">
        <v>6</v>
      </c>
      <c r="L294" s="3"/>
      <c r="M294" s="3">
        <v>36514</v>
      </c>
      <c r="N294" s="3" t="s">
        <v>7</v>
      </c>
      <c r="O294" s="3" t="s">
        <v>8</v>
      </c>
      <c r="P294" s="3" t="s">
        <v>6</v>
      </c>
      <c r="Q294" s="3" t="s">
        <v>6</v>
      </c>
      <c r="R294" s="10">
        <v>45.779053689999998</v>
      </c>
      <c r="S294" s="10">
        <v>45.784437789999998</v>
      </c>
      <c r="T294" s="10">
        <v>12.607536489999999</v>
      </c>
      <c r="U294" s="10">
        <v>8.4</v>
      </c>
      <c r="V294" s="10">
        <v>9.6</v>
      </c>
      <c r="W294" s="10">
        <v>12.55374889</v>
      </c>
      <c r="X294">
        <v>0</v>
      </c>
      <c r="Y294" s="10">
        <f t="shared" si="8"/>
        <v>45.781745739999998</v>
      </c>
      <c r="Z294" s="10">
        <f t="shared" si="9"/>
        <v>12.580642689999999</v>
      </c>
    </row>
    <row r="295" spans="1:26" x14ac:dyDescent="0.2">
      <c r="A295" s="3" t="s">
        <v>640</v>
      </c>
      <c r="B295" s="3" t="s">
        <v>641</v>
      </c>
      <c r="C295" s="3" t="s">
        <v>2</v>
      </c>
      <c r="D295" s="3" t="s">
        <v>3</v>
      </c>
      <c r="E295" s="3" t="s">
        <v>4</v>
      </c>
      <c r="F295" s="3">
        <v>43.386000000000003</v>
      </c>
      <c r="G295" s="3">
        <v>52.463999999999999</v>
      </c>
      <c r="H295" s="3">
        <v>43107</v>
      </c>
      <c r="I295" s="3" t="s">
        <v>31</v>
      </c>
      <c r="J295" s="3" t="s">
        <v>6</v>
      </c>
      <c r="K295" s="3" t="s">
        <v>6</v>
      </c>
      <c r="L295" s="3"/>
      <c r="M295" s="3">
        <v>36514</v>
      </c>
      <c r="N295" s="3" t="s">
        <v>7</v>
      </c>
      <c r="O295" s="3" t="s">
        <v>8</v>
      </c>
      <c r="P295" s="3" t="s">
        <v>6</v>
      </c>
      <c r="Q295" s="3" t="s">
        <v>6</v>
      </c>
      <c r="R295" s="10">
        <v>45.78142399</v>
      </c>
      <c r="S295" s="10">
        <v>45.774570990000001</v>
      </c>
      <c r="T295" s="10">
        <v>12.832383699999999</v>
      </c>
      <c r="U295" s="10">
        <v>4.5</v>
      </c>
      <c r="V295" s="10">
        <v>4.8</v>
      </c>
      <c r="W295" s="10">
        <v>12.71721969</v>
      </c>
      <c r="X295">
        <v>0</v>
      </c>
      <c r="Y295" s="10">
        <f t="shared" si="8"/>
        <v>45.777997490000004</v>
      </c>
      <c r="Z295" s="10">
        <f t="shared" si="9"/>
        <v>12.774801695000001</v>
      </c>
    </row>
    <row r="296" spans="1:26" x14ac:dyDescent="0.2">
      <c r="A296" s="3" t="s">
        <v>642</v>
      </c>
      <c r="B296" s="3" t="s">
        <v>643</v>
      </c>
      <c r="C296" s="3" t="s">
        <v>11</v>
      </c>
      <c r="D296" s="3" t="s">
        <v>3</v>
      </c>
      <c r="E296" s="3" t="s">
        <v>4</v>
      </c>
      <c r="F296" s="3">
        <v>49.744</v>
      </c>
      <c r="G296" s="3">
        <v>55.494999999999997</v>
      </c>
      <c r="H296" s="3">
        <v>45055</v>
      </c>
      <c r="I296" s="3" t="s">
        <v>5</v>
      </c>
      <c r="J296" s="3" t="s">
        <v>6</v>
      </c>
      <c r="K296" s="3" t="s">
        <v>6</v>
      </c>
      <c r="L296" s="3">
        <v>39014</v>
      </c>
      <c r="M296" s="3">
        <v>36514</v>
      </c>
      <c r="N296" s="3" t="s">
        <v>7</v>
      </c>
      <c r="O296" s="3" t="s">
        <v>8</v>
      </c>
      <c r="P296" s="3" t="s">
        <v>6</v>
      </c>
      <c r="Q296" s="3" t="s">
        <v>6</v>
      </c>
      <c r="R296" s="10">
        <v>45.892900990000001</v>
      </c>
      <c r="S296" s="10">
        <v>45.913390489999998</v>
      </c>
      <c r="T296" s="10">
        <v>12.320192090000001</v>
      </c>
      <c r="U296" s="10">
        <v>59.4</v>
      </c>
      <c r="V296" s="10">
        <v>47.5</v>
      </c>
      <c r="W296" s="10">
        <v>12.388183290000001</v>
      </c>
      <c r="X296">
        <v>0</v>
      </c>
      <c r="Y296" s="10">
        <f t="shared" si="8"/>
        <v>45.903145739999999</v>
      </c>
      <c r="Z296" s="10">
        <f t="shared" si="9"/>
        <v>12.35418769</v>
      </c>
    </row>
    <row r="297" spans="1:26" x14ac:dyDescent="0.2">
      <c r="A297" s="3" t="s">
        <v>644</v>
      </c>
      <c r="B297" s="3" t="s">
        <v>645</v>
      </c>
      <c r="C297" s="3" t="s">
        <v>11</v>
      </c>
      <c r="D297" s="3" t="s">
        <v>3</v>
      </c>
      <c r="E297" s="3" t="s">
        <v>4</v>
      </c>
      <c r="F297" s="3">
        <v>23.352</v>
      </c>
      <c r="G297" s="3">
        <v>27.212</v>
      </c>
      <c r="H297" s="3">
        <v>43107</v>
      </c>
      <c r="I297" s="3" t="s">
        <v>31</v>
      </c>
      <c r="J297" s="3" t="s">
        <v>6</v>
      </c>
      <c r="K297" s="3" t="s">
        <v>6</v>
      </c>
      <c r="L297" s="3">
        <v>39057</v>
      </c>
      <c r="M297" s="3">
        <v>36514</v>
      </c>
      <c r="N297" s="3" t="s">
        <v>7</v>
      </c>
      <c r="O297" s="3" t="s">
        <v>8</v>
      </c>
      <c r="P297" s="3" t="s">
        <v>6</v>
      </c>
      <c r="Q297" s="3" t="s">
        <v>6</v>
      </c>
      <c r="R297" s="10">
        <v>45.675387989999997</v>
      </c>
      <c r="S297" s="10">
        <v>45.710080089999998</v>
      </c>
      <c r="T297" s="10">
        <v>12.25989789</v>
      </c>
      <c r="U297" s="10">
        <v>17</v>
      </c>
      <c r="V297" s="10">
        <v>27.5</v>
      </c>
      <c r="W297" s="10">
        <v>12.26567199</v>
      </c>
      <c r="X297">
        <v>0</v>
      </c>
      <c r="Y297" s="10">
        <f t="shared" si="8"/>
        <v>45.692734039999998</v>
      </c>
      <c r="Z297" s="10">
        <f t="shared" si="9"/>
        <v>12.26278494</v>
      </c>
    </row>
    <row r="298" spans="1:26" x14ac:dyDescent="0.2">
      <c r="A298" s="3" t="s">
        <v>646</v>
      </c>
      <c r="B298" s="3" t="s">
        <v>647</v>
      </c>
      <c r="C298" s="3" t="s">
        <v>2</v>
      </c>
      <c r="D298" s="3" t="s">
        <v>3</v>
      </c>
      <c r="E298" s="3" t="s">
        <v>4</v>
      </c>
      <c r="F298" s="3">
        <v>260.19099999999997</v>
      </c>
      <c r="G298" s="3">
        <v>264.83999999999997</v>
      </c>
      <c r="H298" s="3">
        <v>44615</v>
      </c>
      <c r="I298" s="3" t="s">
        <v>24</v>
      </c>
      <c r="J298" s="3" t="s">
        <v>6</v>
      </c>
      <c r="K298" s="3" t="s">
        <v>6</v>
      </c>
      <c r="L298" s="3"/>
      <c r="M298" s="3">
        <v>36514</v>
      </c>
      <c r="N298" s="3" t="s">
        <v>7</v>
      </c>
      <c r="O298" s="3" t="s">
        <v>8</v>
      </c>
      <c r="P298" s="3" t="s">
        <v>6</v>
      </c>
      <c r="Q298" s="3" t="s">
        <v>6</v>
      </c>
      <c r="R298" s="10">
        <v>45.449839590000003</v>
      </c>
      <c r="S298" s="10">
        <v>45.472380790000003</v>
      </c>
      <c r="T298" s="10">
        <v>12.30614059</v>
      </c>
      <c r="U298" s="10">
        <v>0</v>
      </c>
      <c r="V298" s="10">
        <v>3.7</v>
      </c>
      <c r="W298" s="10">
        <v>12.256530789999999</v>
      </c>
      <c r="X298">
        <v>0</v>
      </c>
      <c r="Y298" s="10">
        <f t="shared" si="8"/>
        <v>45.461110189999999</v>
      </c>
      <c r="Z298" s="10">
        <f t="shared" si="9"/>
        <v>12.281335689999999</v>
      </c>
    </row>
    <row r="299" spans="1:26" x14ac:dyDescent="0.2">
      <c r="A299" s="3" t="s">
        <v>648</v>
      </c>
      <c r="B299" s="3" t="s">
        <v>649</v>
      </c>
      <c r="C299" s="3" t="s">
        <v>2</v>
      </c>
      <c r="D299" s="3" t="s">
        <v>3</v>
      </c>
      <c r="E299" s="3" t="s">
        <v>4</v>
      </c>
      <c r="F299" s="3">
        <v>260.19099999999997</v>
      </c>
      <c r="G299" s="3">
        <v>264.83999999999997</v>
      </c>
      <c r="H299" s="3">
        <v>44615</v>
      </c>
      <c r="I299" s="3" t="s">
        <v>24</v>
      </c>
      <c r="J299" s="3" t="s">
        <v>6</v>
      </c>
      <c r="K299" s="3" t="s">
        <v>6</v>
      </c>
      <c r="L299" s="3"/>
      <c r="M299" s="3">
        <v>36514</v>
      </c>
      <c r="N299" s="3" t="s">
        <v>7</v>
      </c>
      <c r="O299" s="3" t="s">
        <v>8</v>
      </c>
      <c r="P299" s="3" t="s">
        <v>6</v>
      </c>
      <c r="Q299" s="3" t="s">
        <v>6</v>
      </c>
      <c r="R299" s="10">
        <v>45.449839590000003</v>
      </c>
      <c r="S299" s="10">
        <v>45.472380790000003</v>
      </c>
      <c r="T299" s="10">
        <v>12.30614059</v>
      </c>
      <c r="U299" s="10">
        <v>0</v>
      </c>
      <c r="V299" s="10">
        <v>3.7</v>
      </c>
      <c r="W299" s="10">
        <v>12.256530789999999</v>
      </c>
      <c r="X299">
        <v>0</v>
      </c>
      <c r="Y299" s="10">
        <f t="shared" si="8"/>
        <v>45.461110189999999</v>
      </c>
      <c r="Z299" s="10">
        <f t="shared" si="9"/>
        <v>12.281335689999999</v>
      </c>
    </row>
    <row r="300" spans="1:26" x14ac:dyDescent="0.2">
      <c r="A300" s="3" t="s">
        <v>650</v>
      </c>
      <c r="B300" s="3" t="s">
        <v>651</v>
      </c>
      <c r="C300" s="3" t="s">
        <v>11</v>
      </c>
      <c r="D300" s="3" t="s">
        <v>3</v>
      </c>
      <c r="E300" s="3" t="s">
        <v>4</v>
      </c>
      <c r="F300" s="3">
        <v>1.883</v>
      </c>
      <c r="G300" s="3">
        <v>12.071</v>
      </c>
      <c r="H300" s="3">
        <v>45328</v>
      </c>
      <c r="I300" s="3" t="s">
        <v>5</v>
      </c>
      <c r="J300" s="3" t="s">
        <v>6</v>
      </c>
      <c r="K300" s="3" t="s">
        <v>6</v>
      </c>
      <c r="L300" s="3"/>
      <c r="M300" s="3">
        <v>36514</v>
      </c>
      <c r="N300" s="3" t="s">
        <v>7</v>
      </c>
      <c r="O300" s="3" t="s">
        <v>8</v>
      </c>
      <c r="P300" s="3" t="s">
        <v>6</v>
      </c>
      <c r="Q300" s="3" t="s">
        <v>6</v>
      </c>
      <c r="R300" s="10">
        <v>45.892900990000001</v>
      </c>
      <c r="S300" s="10">
        <v>45.976833390000003</v>
      </c>
      <c r="T300" s="10">
        <v>12.320192090000001</v>
      </c>
      <c r="U300" s="10">
        <v>59.4</v>
      </c>
      <c r="V300" s="10">
        <v>132.4</v>
      </c>
      <c r="W300" s="10">
        <v>12.29884959</v>
      </c>
      <c r="X300">
        <v>0</v>
      </c>
      <c r="Y300" s="10">
        <f t="shared" si="8"/>
        <v>45.934867190000006</v>
      </c>
      <c r="Z300" s="10">
        <f t="shared" si="9"/>
        <v>12.309520840000001</v>
      </c>
    </row>
    <row r="301" spans="1:26" x14ac:dyDescent="0.2">
      <c r="A301" s="3" t="s">
        <v>652</v>
      </c>
      <c r="B301" s="3" t="s">
        <v>653</v>
      </c>
      <c r="C301" s="3" t="s">
        <v>11</v>
      </c>
      <c r="D301" s="3" t="s">
        <v>3</v>
      </c>
      <c r="E301" s="3" t="s">
        <v>4</v>
      </c>
      <c r="F301" s="3">
        <v>1.4930000000000001</v>
      </c>
      <c r="G301" s="3">
        <v>7.492</v>
      </c>
      <c r="H301" s="3">
        <v>44111</v>
      </c>
      <c r="I301" s="3" t="s">
        <v>12</v>
      </c>
      <c r="J301" s="3" t="s">
        <v>6</v>
      </c>
      <c r="K301" s="3" t="s">
        <v>6</v>
      </c>
      <c r="L301" s="3">
        <v>38149</v>
      </c>
      <c r="M301" s="3">
        <v>36514</v>
      </c>
      <c r="N301" s="3" t="s">
        <v>7</v>
      </c>
      <c r="O301" s="3" t="s">
        <v>8</v>
      </c>
      <c r="P301" s="3" t="s">
        <v>6</v>
      </c>
      <c r="Q301" s="3" t="s">
        <v>6</v>
      </c>
      <c r="R301" s="10">
        <v>45.578571490000002</v>
      </c>
      <c r="S301" s="10">
        <v>45.542074390000003</v>
      </c>
      <c r="T301" s="10">
        <v>11.61071289</v>
      </c>
      <c r="U301" s="10">
        <v>37.700000000000003</v>
      </c>
      <c r="V301" s="10">
        <v>32.1</v>
      </c>
      <c r="W301" s="10">
        <v>11.560020489999999</v>
      </c>
      <c r="X301">
        <v>0</v>
      </c>
      <c r="Y301" s="10">
        <f t="shared" si="8"/>
        <v>45.560322940000006</v>
      </c>
      <c r="Z301" s="10">
        <f t="shared" si="9"/>
        <v>11.585366690000001</v>
      </c>
    </row>
    <row r="302" spans="1:26" x14ac:dyDescent="0.2">
      <c r="A302" t="s">
        <v>657</v>
      </c>
      <c r="B302" t="s">
        <v>658</v>
      </c>
      <c r="C302" t="s">
        <v>11</v>
      </c>
      <c r="D302" t="s">
        <v>3</v>
      </c>
      <c r="E302" t="s">
        <v>659</v>
      </c>
      <c r="F302" s="8">
        <v>21.457999999999998</v>
      </c>
      <c r="G302" s="8">
        <v>21.457999999999998</v>
      </c>
      <c r="H302" s="9">
        <v>44837</v>
      </c>
      <c r="I302" t="s">
        <v>31</v>
      </c>
      <c r="J302" t="s">
        <v>6</v>
      </c>
      <c r="K302" t="s">
        <v>6</v>
      </c>
      <c r="L302" s="9"/>
      <c r="M302" s="9">
        <v>36514</v>
      </c>
      <c r="N302" t="s">
        <v>7</v>
      </c>
      <c r="O302" t="s">
        <v>6</v>
      </c>
      <c r="P302" t="s">
        <v>6</v>
      </c>
      <c r="Q302" t="s">
        <v>6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>
        <v>0</v>
      </c>
      <c r="Y302" s="10">
        <f t="shared" si="8"/>
        <v>0</v>
      </c>
      <c r="Z302" s="10">
        <f t="shared" si="9"/>
        <v>0</v>
      </c>
    </row>
    <row r="303" spans="1:26" x14ac:dyDescent="0.2">
      <c r="A303" t="s">
        <v>660</v>
      </c>
      <c r="B303" t="s">
        <v>661</v>
      </c>
      <c r="C303" t="s">
        <v>2</v>
      </c>
      <c r="D303" t="s">
        <v>3</v>
      </c>
      <c r="E303" t="s">
        <v>662</v>
      </c>
      <c r="F303" s="8">
        <v>234.84299999999999</v>
      </c>
      <c r="G303" s="8">
        <v>234.84299999999999</v>
      </c>
      <c r="H303" s="9">
        <v>45349</v>
      </c>
      <c r="I303" t="s">
        <v>21</v>
      </c>
      <c r="J303" t="s">
        <v>6</v>
      </c>
      <c r="K303" t="s">
        <v>6</v>
      </c>
      <c r="L303" s="9">
        <v>38891</v>
      </c>
      <c r="M303" s="9">
        <v>36514</v>
      </c>
      <c r="N303" t="s">
        <v>7</v>
      </c>
      <c r="O303" t="s">
        <v>6</v>
      </c>
      <c r="P303" t="s">
        <v>6</v>
      </c>
      <c r="Q303" t="s">
        <v>6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>
        <v>0</v>
      </c>
      <c r="Y303" s="10">
        <f t="shared" si="8"/>
        <v>0</v>
      </c>
      <c r="Z303" s="10">
        <f t="shared" si="9"/>
        <v>0</v>
      </c>
    </row>
    <row r="304" spans="1:26" x14ac:dyDescent="0.2">
      <c r="A304" t="s">
        <v>663</v>
      </c>
      <c r="B304" t="s">
        <v>664</v>
      </c>
      <c r="C304" t="s">
        <v>11</v>
      </c>
      <c r="D304" t="s">
        <v>3</v>
      </c>
      <c r="E304" t="s">
        <v>659</v>
      </c>
      <c r="F304" s="8">
        <v>22.882999999999999</v>
      </c>
      <c r="G304" s="8">
        <v>22.882999999999999</v>
      </c>
      <c r="H304" s="9">
        <v>43106</v>
      </c>
      <c r="I304" t="s">
        <v>31</v>
      </c>
      <c r="J304" t="s">
        <v>6</v>
      </c>
      <c r="K304" t="s">
        <v>6</v>
      </c>
      <c r="L304" s="9"/>
      <c r="M304" s="9">
        <v>36514</v>
      </c>
      <c r="N304" t="s">
        <v>7</v>
      </c>
      <c r="O304" t="s">
        <v>6</v>
      </c>
      <c r="P304" t="s">
        <v>6</v>
      </c>
      <c r="Q304" t="s">
        <v>6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>
        <v>0</v>
      </c>
      <c r="Y304" s="10">
        <f t="shared" si="8"/>
        <v>0</v>
      </c>
      <c r="Z304" s="10">
        <f t="shared" si="9"/>
        <v>0</v>
      </c>
    </row>
    <row r="305" spans="1:26" x14ac:dyDescent="0.2">
      <c r="A305" t="s">
        <v>665</v>
      </c>
      <c r="B305" t="s">
        <v>666</v>
      </c>
      <c r="C305" t="s">
        <v>11</v>
      </c>
      <c r="D305" t="s">
        <v>667</v>
      </c>
      <c r="E305" t="s">
        <v>4</v>
      </c>
      <c r="F305" s="8">
        <v>20.908000000000001</v>
      </c>
      <c r="G305" s="8">
        <v>22.882999999999999</v>
      </c>
      <c r="H305" s="9">
        <v>43107</v>
      </c>
      <c r="I305" t="s">
        <v>31</v>
      </c>
      <c r="J305" t="s">
        <v>6</v>
      </c>
      <c r="K305" t="s">
        <v>6</v>
      </c>
      <c r="L305" s="9"/>
      <c r="M305" s="9">
        <v>39875</v>
      </c>
      <c r="N305" t="s">
        <v>7</v>
      </c>
      <c r="O305" t="s">
        <v>6</v>
      </c>
      <c r="P305" t="s">
        <v>6</v>
      </c>
      <c r="Q305" t="s">
        <v>6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>
        <v>0</v>
      </c>
      <c r="Y305" s="10">
        <f t="shared" si="8"/>
        <v>0</v>
      </c>
      <c r="Z305" s="10">
        <f t="shared" si="9"/>
        <v>0</v>
      </c>
    </row>
    <row r="306" spans="1:26" x14ac:dyDescent="0.2">
      <c r="A306" t="s">
        <v>668</v>
      </c>
      <c r="B306" t="s">
        <v>669</v>
      </c>
      <c r="C306" t="s">
        <v>11</v>
      </c>
      <c r="D306" t="s">
        <v>667</v>
      </c>
      <c r="E306" t="s">
        <v>4</v>
      </c>
      <c r="F306" s="8">
        <v>22.882999999999999</v>
      </c>
      <c r="G306" s="8">
        <v>23.352</v>
      </c>
      <c r="H306" s="9">
        <v>44252</v>
      </c>
      <c r="I306" t="s">
        <v>149</v>
      </c>
      <c r="J306" t="s">
        <v>6</v>
      </c>
      <c r="K306" t="s">
        <v>6</v>
      </c>
      <c r="L306" s="9"/>
      <c r="M306" s="9">
        <v>36514</v>
      </c>
      <c r="N306" t="s">
        <v>7</v>
      </c>
      <c r="O306" t="s">
        <v>6</v>
      </c>
      <c r="P306" t="s">
        <v>6</v>
      </c>
      <c r="Q306" t="s">
        <v>6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>
        <v>0</v>
      </c>
      <c r="Y306" s="10">
        <f t="shared" si="8"/>
        <v>0</v>
      </c>
      <c r="Z306" s="10">
        <f t="shared" si="9"/>
        <v>0</v>
      </c>
    </row>
    <row r="307" spans="1:26" x14ac:dyDescent="0.2">
      <c r="A307" t="s">
        <v>670</v>
      </c>
      <c r="B307" t="s">
        <v>671</v>
      </c>
      <c r="C307" t="s">
        <v>11</v>
      </c>
      <c r="D307" t="s">
        <v>667</v>
      </c>
      <c r="E307" t="s">
        <v>4</v>
      </c>
      <c r="F307" s="8">
        <v>21.457999999999998</v>
      </c>
      <c r="G307" s="8">
        <v>27.349</v>
      </c>
      <c r="H307" s="9">
        <v>43107</v>
      </c>
      <c r="I307" t="s">
        <v>31</v>
      </c>
      <c r="J307" t="s">
        <v>6</v>
      </c>
      <c r="K307" t="s">
        <v>6</v>
      </c>
      <c r="L307" s="9"/>
      <c r="M307" s="9">
        <v>36514</v>
      </c>
      <c r="N307" t="s">
        <v>7</v>
      </c>
      <c r="O307" t="s">
        <v>6</v>
      </c>
      <c r="P307" t="s">
        <v>6</v>
      </c>
      <c r="Q307" t="s">
        <v>6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>
        <v>0</v>
      </c>
      <c r="Y307" s="10">
        <f t="shared" si="8"/>
        <v>0</v>
      </c>
      <c r="Z307" s="10">
        <f t="shared" si="9"/>
        <v>0</v>
      </c>
    </row>
    <row r="308" spans="1:26" x14ac:dyDescent="0.2">
      <c r="A308" t="s">
        <v>672</v>
      </c>
      <c r="B308" t="s">
        <v>673</v>
      </c>
      <c r="C308" t="s">
        <v>11</v>
      </c>
      <c r="D308" t="s">
        <v>667</v>
      </c>
      <c r="E308" t="s">
        <v>4</v>
      </c>
      <c r="F308" s="8">
        <v>13.56</v>
      </c>
      <c r="G308" s="8">
        <v>21.457999999999998</v>
      </c>
      <c r="H308" s="9">
        <v>43107</v>
      </c>
      <c r="I308" t="s">
        <v>31</v>
      </c>
      <c r="J308" t="s">
        <v>6</v>
      </c>
      <c r="K308" t="s">
        <v>6</v>
      </c>
      <c r="L308" s="9"/>
      <c r="M308" s="9">
        <v>36514</v>
      </c>
      <c r="N308" t="s">
        <v>7</v>
      </c>
      <c r="O308" t="s">
        <v>6</v>
      </c>
      <c r="P308" t="s">
        <v>6</v>
      </c>
      <c r="Q308" t="s">
        <v>6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>
        <v>0</v>
      </c>
      <c r="Y308" s="10">
        <f t="shared" si="8"/>
        <v>0</v>
      </c>
      <c r="Z308" s="10">
        <f t="shared" si="9"/>
        <v>0</v>
      </c>
    </row>
    <row r="309" spans="1:26" x14ac:dyDescent="0.2">
      <c r="A309" t="s">
        <v>675</v>
      </c>
      <c r="B309" t="s">
        <v>674</v>
      </c>
      <c r="C309" t="s">
        <v>2</v>
      </c>
      <c r="D309" t="s">
        <v>3</v>
      </c>
      <c r="E309" t="s">
        <v>659</v>
      </c>
      <c r="F309" s="8">
        <v>256.47899999999998</v>
      </c>
      <c r="G309" s="8">
        <v>0</v>
      </c>
      <c r="H309" s="9" t="s">
        <v>676</v>
      </c>
      <c r="I309" t="s">
        <v>21</v>
      </c>
      <c r="L309" s="9" t="s">
        <v>677</v>
      </c>
      <c r="M309" s="9" t="s">
        <v>710</v>
      </c>
      <c r="N309" t="s">
        <v>7</v>
      </c>
      <c r="R309" s="10"/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>
        <v>0</v>
      </c>
      <c r="Y309" s="10">
        <f t="shared" ref="Y309:Y325" si="10">IF(LEFT(A309,2)="TR",(S309+R309)/2,S309)</f>
        <v>0</v>
      </c>
      <c r="Z309" s="10">
        <f t="shared" ref="Z309:Z325" si="11">IF(LEFT(A309,2)="TR",(W309+T309)/2,W309)</f>
        <v>0</v>
      </c>
    </row>
    <row r="310" spans="1:26" x14ac:dyDescent="0.2">
      <c r="A310" t="s">
        <v>679</v>
      </c>
      <c r="B310" t="s">
        <v>678</v>
      </c>
      <c r="C310" t="s">
        <v>2</v>
      </c>
      <c r="D310" t="s">
        <v>3</v>
      </c>
      <c r="E310" t="s">
        <v>659</v>
      </c>
      <c r="F310" s="8">
        <v>254.38900000000001</v>
      </c>
      <c r="G310" s="8">
        <v>0</v>
      </c>
      <c r="H310" s="9" t="s">
        <v>680</v>
      </c>
      <c r="I310" t="s">
        <v>31</v>
      </c>
      <c r="L310" s="9"/>
      <c r="M310" s="9" t="s">
        <v>711</v>
      </c>
      <c r="N310" t="s">
        <v>7</v>
      </c>
      <c r="R310" s="10"/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>
        <v>0</v>
      </c>
      <c r="Y310" s="10">
        <f t="shared" si="10"/>
        <v>0</v>
      </c>
      <c r="Z310" s="10">
        <f t="shared" si="11"/>
        <v>0</v>
      </c>
    </row>
    <row r="311" spans="1:26" x14ac:dyDescent="0.2">
      <c r="A311" t="s">
        <v>370</v>
      </c>
      <c r="B311" t="s">
        <v>681</v>
      </c>
      <c r="C311" t="s">
        <v>2</v>
      </c>
      <c r="D311" t="s">
        <v>667</v>
      </c>
      <c r="E311" t="s">
        <v>4</v>
      </c>
      <c r="F311" s="8">
        <v>9.2729999999999997</v>
      </c>
      <c r="G311" s="8">
        <v>3.9390000000000001</v>
      </c>
      <c r="H311" s="9" t="s">
        <v>682</v>
      </c>
      <c r="I311" t="s">
        <v>31</v>
      </c>
      <c r="L311" s="9" t="s">
        <v>683</v>
      </c>
      <c r="M311" s="9" t="s">
        <v>712</v>
      </c>
      <c r="N311" t="s">
        <v>7</v>
      </c>
      <c r="Q311" t="s">
        <v>375</v>
      </c>
      <c r="R311" s="10"/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>
        <v>0</v>
      </c>
      <c r="Y311" s="10">
        <f t="shared" si="10"/>
        <v>0</v>
      </c>
      <c r="Z311" s="10">
        <f t="shared" si="11"/>
        <v>0</v>
      </c>
    </row>
    <row r="312" spans="1:26" x14ac:dyDescent="0.2">
      <c r="A312" t="s">
        <v>357</v>
      </c>
      <c r="B312" t="s">
        <v>684</v>
      </c>
      <c r="C312" t="s">
        <v>2</v>
      </c>
      <c r="D312" t="s">
        <v>667</v>
      </c>
      <c r="E312" t="s">
        <v>4</v>
      </c>
      <c r="F312" s="8">
        <v>11.836</v>
      </c>
      <c r="G312" s="8">
        <v>15.782</v>
      </c>
      <c r="H312" s="9" t="s">
        <v>682</v>
      </c>
      <c r="I312" t="s">
        <v>31</v>
      </c>
      <c r="L312" s="9" t="s">
        <v>685</v>
      </c>
      <c r="M312" s="9" t="s">
        <v>711</v>
      </c>
      <c r="N312" t="s">
        <v>7</v>
      </c>
      <c r="R312" s="10"/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>
        <v>0</v>
      </c>
      <c r="Y312" s="10">
        <f t="shared" si="10"/>
        <v>0</v>
      </c>
      <c r="Z312" s="10">
        <f t="shared" si="11"/>
        <v>0</v>
      </c>
    </row>
    <row r="313" spans="1:26" x14ac:dyDescent="0.2">
      <c r="A313" t="s">
        <v>687</v>
      </c>
      <c r="B313" t="s">
        <v>686</v>
      </c>
      <c r="C313" t="s">
        <v>2</v>
      </c>
      <c r="D313" t="s">
        <v>3</v>
      </c>
      <c r="E313" t="s">
        <v>659</v>
      </c>
      <c r="F313" s="8">
        <v>229.40799999999999</v>
      </c>
      <c r="G313" s="8">
        <v>234.84299999999999</v>
      </c>
      <c r="H313" s="9" t="s">
        <v>680</v>
      </c>
      <c r="I313" t="s">
        <v>31</v>
      </c>
      <c r="L313" s="9"/>
      <c r="M313" s="9" t="s">
        <v>711</v>
      </c>
      <c r="N313" t="s">
        <v>7</v>
      </c>
      <c r="R313" s="10">
        <v>45.422522000000001</v>
      </c>
      <c r="S313" s="10">
        <v>45.422522000000001</v>
      </c>
      <c r="T313" s="10">
        <v>11.913278</v>
      </c>
      <c r="U313" s="10">
        <v>0</v>
      </c>
      <c r="V313" s="10">
        <v>0</v>
      </c>
      <c r="W313" s="10">
        <v>11.913278</v>
      </c>
      <c r="X313">
        <v>0</v>
      </c>
      <c r="Y313" s="10">
        <f t="shared" si="10"/>
        <v>45.422522000000001</v>
      </c>
      <c r="Z313" s="10">
        <f t="shared" si="11"/>
        <v>11.913278</v>
      </c>
    </row>
    <row r="314" spans="1:26" x14ac:dyDescent="0.2">
      <c r="A314" t="s">
        <v>689</v>
      </c>
      <c r="B314" t="s">
        <v>688</v>
      </c>
      <c r="C314" t="s">
        <v>2</v>
      </c>
      <c r="D314" t="s">
        <v>667</v>
      </c>
      <c r="E314" t="s">
        <v>4</v>
      </c>
      <c r="F314" s="8">
        <v>248.726</v>
      </c>
      <c r="G314" s="8">
        <v>252.08</v>
      </c>
      <c r="H314" s="9" t="s">
        <v>682</v>
      </c>
      <c r="I314" t="s">
        <v>31</v>
      </c>
      <c r="L314" s="9"/>
      <c r="M314" s="9" t="s">
        <v>711</v>
      </c>
      <c r="N314" t="s">
        <v>7</v>
      </c>
      <c r="R314" s="10"/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>
        <v>0</v>
      </c>
      <c r="Y314" s="10">
        <f t="shared" si="10"/>
        <v>0</v>
      </c>
      <c r="Z314" s="10">
        <f t="shared" si="11"/>
        <v>0</v>
      </c>
    </row>
    <row r="315" spans="1:26" x14ac:dyDescent="0.2">
      <c r="A315" t="s">
        <v>691</v>
      </c>
      <c r="B315" t="s">
        <v>690</v>
      </c>
      <c r="C315" t="s">
        <v>2</v>
      </c>
      <c r="D315" t="s">
        <v>667</v>
      </c>
      <c r="E315" t="s">
        <v>4</v>
      </c>
      <c r="F315" s="8">
        <v>252.08</v>
      </c>
      <c r="G315" s="8">
        <v>254.38900000000001</v>
      </c>
      <c r="H315" s="9" t="s">
        <v>682</v>
      </c>
      <c r="I315" t="s">
        <v>31</v>
      </c>
      <c r="L315" s="9"/>
      <c r="M315" s="9" t="s">
        <v>711</v>
      </c>
      <c r="N315" t="s">
        <v>7</v>
      </c>
      <c r="R315" s="10"/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>
        <v>0</v>
      </c>
      <c r="Y315" s="10">
        <f t="shared" si="10"/>
        <v>0</v>
      </c>
      <c r="Z315" s="10">
        <f t="shared" si="11"/>
        <v>0</v>
      </c>
    </row>
    <row r="316" spans="1:26" x14ac:dyDescent="0.2">
      <c r="A316" t="s">
        <v>693</v>
      </c>
      <c r="B316" t="s">
        <v>692</v>
      </c>
      <c r="C316" t="s">
        <v>2</v>
      </c>
      <c r="D316" t="s">
        <v>3</v>
      </c>
      <c r="E316" t="s">
        <v>659</v>
      </c>
      <c r="F316" s="8">
        <v>254.38900000000001</v>
      </c>
      <c r="G316" s="8">
        <v>256.49</v>
      </c>
      <c r="H316" s="9" t="s">
        <v>680</v>
      </c>
      <c r="I316" t="s">
        <v>31</v>
      </c>
      <c r="L316" s="9"/>
      <c r="M316" s="9" t="s">
        <v>710</v>
      </c>
      <c r="N316" t="s">
        <v>7</v>
      </c>
      <c r="R316" s="10"/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>
        <v>0</v>
      </c>
      <c r="Y316" s="10">
        <f t="shared" si="10"/>
        <v>0</v>
      </c>
      <c r="Z316" s="10">
        <f t="shared" si="11"/>
        <v>0</v>
      </c>
    </row>
    <row r="317" spans="1:26" x14ac:dyDescent="0.2">
      <c r="A317" t="s">
        <v>365</v>
      </c>
      <c r="B317" t="s">
        <v>694</v>
      </c>
      <c r="C317" t="s">
        <v>11</v>
      </c>
      <c r="D317" t="s">
        <v>667</v>
      </c>
      <c r="E317" t="s">
        <v>4</v>
      </c>
      <c r="F317" s="8">
        <v>23.312000000000001</v>
      </c>
      <c r="G317" s="8">
        <v>14.837</v>
      </c>
      <c r="H317" s="9" t="s">
        <v>682</v>
      </c>
      <c r="I317" t="s">
        <v>31</v>
      </c>
      <c r="L317" s="9"/>
      <c r="M317" s="9" t="s">
        <v>711</v>
      </c>
      <c r="N317" t="s">
        <v>7</v>
      </c>
      <c r="R317" s="10"/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>
        <v>0</v>
      </c>
      <c r="Y317" s="10">
        <f t="shared" si="10"/>
        <v>0</v>
      </c>
      <c r="Z317" s="10">
        <f t="shared" si="11"/>
        <v>0</v>
      </c>
    </row>
    <row r="318" spans="1:26" x14ac:dyDescent="0.2">
      <c r="A318" t="s">
        <v>545</v>
      </c>
      <c r="B318" t="s">
        <v>695</v>
      </c>
      <c r="C318" t="s">
        <v>11</v>
      </c>
      <c r="D318" t="s">
        <v>667</v>
      </c>
      <c r="E318" t="s">
        <v>4</v>
      </c>
      <c r="F318" s="8">
        <v>20.908000000000001</v>
      </c>
      <c r="G318" s="8">
        <v>13.925000000000001</v>
      </c>
      <c r="H318" s="9" t="s">
        <v>682</v>
      </c>
      <c r="I318" t="s">
        <v>31</v>
      </c>
      <c r="L318" s="9"/>
      <c r="M318" s="9" t="s">
        <v>711</v>
      </c>
      <c r="N318" t="s">
        <v>7</v>
      </c>
      <c r="R318" s="10"/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>
        <v>0</v>
      </c>
      <c r="Y318" s="10">
        <f t="shared" si="10"/>
        <v>0</v>
      </c>
      <c r="Z318" s="10">
        <f t="shared" si="11"/>
        <v>0</v>
      </c>
    </row>
    <row r="319" spans="1:26" x14ac:dyDescent="0.2">
      <c r="A319" t="s">
        <v>697</v>
      </c>
      <c r="B319" t="s">
        <v>696</v>
      </c>
      <c r="C319" t="s">
        <v>2</v>
      </c>
      <c r="D319" t="s">
        <v>667</v>
      </c>
      <c r="E319" t="s">
        <v>4</v>
      </c>
      <c r="F319" s="8">
        <v>59.341999999999999</v>
      </c>
      <c r="G319" s="8">
        <v>65.311000000000007</v>
      </c>
      <c r="H319" s="9" t="s">
        <v>682</v>
      </c>
      <c r="I319" t="s">
        <v>31</v>
      </c>
      <c r="L319" s="9"/>
      <c r="M319" s="9" t="s">
        <v>711</v>
      </c>
      <c r="N319" t="s">
        <v>7</v>
      </c>
      <c r="R319" s="10"/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>
        <v>0</v>
      </c>
      <c r="Y319" s="10">
        <f t="shared" si="10"/>
        <v>0</v>
      </c>
      <c r="Z319" s="10">
        <f t="shared" si="11"/>
        <v>0</v>
      </c>
    </row>
    <row r="320" spans="1:26" x14ac:dyDescent="0.2">
      <c r="A320" t="s">
        <v>699</v>
      </c>
      <c r="B320" t="s">
        <v>698</v>
      </c>
      <c r="C320" t="s">
        <v>2</v>
      </c>
      <c r="D320" t="s">
        <v>667</v>
      </c>
      <c r="E320" t="s">
        <v>4</v>
      </c>
      <c r="F320" s="8">
        <v>65.311000000000007</v>
      </c>
      <c r="G320" s="8">
        <v>73.289000000000001</v>
      </c>
      <c r="H320" s="9" t="s">
        <v>682</v>
      </c>
      <c r="I320" t="s">
        <v>31</v>
      </c>
      <c r="L320" s="9"/>
      <c r="M320" s="9" t="s">
        <v>711</v>
      </c>
      <c r="N320" t="s">
        <v>7</v>
      </c>
      <c r="R320" s="10"/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>
        <v>0</v>
      </c>
      <c r="Y320" s="10">
        <f t="shared" si="10"/>
        <v>0</v>
      </c>
      <c r="Z320" s="10">
        <f t="shared" si="11"/>
        <v>0</v>
      </c>
    </row>
    <row r="321" spans="1:26" x14ac:dyDescent="0.2">
      <c r="A321" t="s">
        <v>701</v>
      </c>
      <c r="B321" t="s">
        <v>700</v>
      </c>
      <c r="C321" t="s">
        <v>2</v>
      </c>
      <c r="D321" t="s">
        <v>3</v>
      </c>
      <c r="E321" t="s">
        <v>659</v>
      </c>
      <c r="F321" s="8">
        <v>256.49</v>
      </c>
      <c r="G321" s="8">
        <v>257.90699999999998</v>
      </c>
      <c r="H321" s="9" t="s">
        <v>680</v>
      </c>
      <c r="I321" t="s">
        <v>31</v>
      </c>
      <c r="L321" s="9"/>
      <c r="M321" s="9" t="s">
        <v>710</v>
      </c>
      <c r="N321" t="s">
        <v>7</v>
      </c>
      <c r="R321" s="10"/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>
        <v>0</v>
      </c>
      <c r="Y321" s="10">
        <f t="shared" si="10"/>
        <v>0</v>
      </c>
      <c r="Z321" s="10">
        <f t="shared" si="11"/>
        <v>0</v>
      </c>
    </row>
    <row r="322" spans="1:26" x14ac:dyDescent="0.2">
      <c r="A322" t="s">
        <v>703</v>
      </c>
      <c r="B322" t="s">
        <v>702</v>
      </c>
      <c r="C322" t="s">
        <v>2</v>
      </c>
      <c r="D322" t="s">
        <v>3</v>
      </c>
      <c r="E322" t="s">
        <v>659</v>
      </c>
      <c r="F322" s="8">
        <v>7.4989999999999997</v>
      </c>
      <c r="G322" s="8">
        <v>4.4850000000000003</v>
      </c>
      <c r="H322" s="9" t="s">
        <v>680</v>
      </c>
      <c r="I322" t="s">
        <v>31</v>
      </c>
      <c r="L322" s="9"/>
      <c r="M322" s="9" t="s">
        <v>711</v>
      </c>
      <c r="N322" t="s">
        <v>7</v>
      </c>
      <c r="R322" s="10"/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>
        <v>0</v>
      </c>
      <c r="Y322" s="10">
        <f t="shared" si="10"/>
        <v>0</v>
      </c>
      <c r="Z322" s="10">
        <f t="shared" si="11"/>
        <v>0</v>
      </c>
    </row>
    <row r="323" spans="1:26" x14ac:dyDescent="0.2">
      <c r="A323" t="s">
        <v>705</v>
      </c>
      <c r="B323" t="s">
        <v>704</v>
      </c>
      <c r="C323" t="s">
        <v>2</v>
      </c>
      <c r="D323" t="s">
        <v>3</v>
      </c>
      <c r="E323" t="s">
        <v>659</v>
      </c>
      <c r="F323" s="8">
        <v>4.4850000000000003</v>
      </c>
      <c r="G323" s="8">
        <v>1.4279999999999999</v>
      </c>
      <c r="H323" s="9" t="s">
        <v>680</v>
      </c>
      <c r="I323" t="s">
        <v>31</v>
      </c>
      <c r="L323" s="9"/>
      <c r="M323" s="9" t="s">
        <v>711</v>
      </c>
      <c r="N323" t="s">
        <v>7</v>
      </c>
      <c r="R323" s="10"/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>
        <v>0</v>
      </c>
      <c r="Y323" s="10">
        <f t="shared" si="10"/>
        <v>0</v>
      </c>
      <c r="Z323" s="10">
        <f t="shared" si="11"/>
        <v>0</v>
      </c>
    </row>
    <row r="324" spans="1:26" x14ac:dyDescent="0.2">
      <c r="A324" t="s">
        <v>346</v>
      </c>
      <c r="B324" t="s">
        <v>706</v>
      </c>
      <c r="C324" t="s">
        <v>2</v>
      </c>
      <c r="D324" t="s">
        <v>667</v>
      </c>
      <c r="E324" t="s">
        <v>4</v>
      </c>
      <c r="F324" s="8">
        <v>3.903</v>
      </c>
      <c r="G324" s="8">
        <v>11.836</v>
      </c>
      <c r="H324" s="9" t="s">
        <v>682</v>
      </c>
      <c r="I324" t="s">
        <v>31</v>
      </c>
      <c r="L324" s="9" t="s">
        <v>707</v>
      </c>
      <c r="M324" s="9" t="s">
        <v>711</v>
      </c>
      <c r="N324" t="s">
        <v>7</v>
      </c>
      <c r="R324" s="10"/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>
        <v>0</v>
      </c>
      <c r="Y324" s="10">
        <f t="shared" si="10"/>
        <v>0</v>
      </c>
      <c r="Z324" s="10">
        <f t="shared" si="11"/>
        <v>0</v>
      </c>
    </row>
    <row r="325" spans="1:26" x14ac:dyDescent="0.2">
      <c r="A325" t="s">
        <v>375</v>
      </c>
      <c r="B325" t="s">
        <v>708</v>
      </c>
      <c r="C325" t="s">
        <v>2</v>
      </c>
      <c r="D325" t="s">
        <v>667</v>
      </c>
      <c r="E325" t="s">
        <v>4</v>
      </c>
      <c r="F325" s="8">
        <v>9.2729999999999997</v>
      </c>
      <c r="G325" s="8">
        <v>0.96699999999999997</v>
      </c>
      <c r="H325" s="9" t="s">
        <v>709</v>
      </c>
      <c r="I325">
        <v>935860</v>
      </c>
      <c r="L325" s="9"/>
      <c r="M325" s="9" t="s">
        <v>713</v>
      </c>
      <c r="N325" t="s">
        <v>7</v>
      </c>
      <c r="R325" s="10"/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>
        <v>0</v>
      </c>
      <c r="Y325" s="10">
        <f t="shared" si="10"/>
        <v>0</v>
      </c>
      <c r="Z325" s="10">
        <f t="shared" si="11"/>
        <v>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6a5aeb45029483b31a961024d9539a90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eb188fdd476b51fcbf80916381ce6edb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821667-dc32-45c3-a292-e0c8028e4643" xsi:nil="true"/>
    <lcf76f155ced4ddcb4097134ff3c332f xmlns="52260d23-1730-401f-a29b-4e735212fe9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CB6831-0826-4E43-B663-AA496AB1F2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260d23-1730-401f-a29b-4e735212fe90"/>
    <ds:schemaRef ds:uri="d711dfe6-0632-452e-83db-055fc5970243"/>
    <ds:schemaRef ds:uri="6f821667-dc32-45c3-a292-e0c8028e4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7AAAB5-37B7-4C95-9FC7-45E7C09F9361}">
  <ds:schemaRefs>
    <ds:schemaRef ds:uri="http://schemas.microsoft.com/office/2006/metadata/properties"/>
    <ds:schemaRef ds:uri="http://schemas.microsoft.com/office/infopath/2007/PartnerControls"/>
    <ds:schemaRef ds:uri="6f821667-dc32-45c3-a292-e0c8028e4643"/>
    <ds:schemaRef ds:uri="52260d23-1730-401f-a29b-4e735212fe90"/>
  </ds:schemaRefs>
</ds:datastoreItem>
</file>

<file path=customXml/itemProps3.xml><?xml version="1.0" encoding="utf-8"?>
<ds:datastoreItem xmlns:ds="http://schemas.openxmlformats.org/officeDocument/2006/customXml" ds:itemID="{0B4198C3-7006-42E7-B3D1-4CDB0E2FC5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ZUIN MATTIA</cp:lastModifiedBy>
  <cp:revision>1</cp:revision>
  <dcterms:modified xsi:type="dcterms:W3CDTF">2026-06-30T10:08:35Z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0x010100A5CA2152BF2C0942B0C819F4B66FBEBD</vt:lpwstr>
  </property>
  <property fmtid="{D5CDD505-2E9C-101B-9397-08002B2CF9AE}" pid="3" name="MediaServiceImageTags">
    <vt:lpwstr/>
  </property>
  <property fmtid="{D5CDD505-2E9C-101B-9397-08002B2CF9AE}" pid="4" name="MSIP_Label_8a44a90e-04f7-4d21-b494-cfe49b26ce55_Enabled">
    <vt:lpwstr>true</vt:lpwstr>
  </property>
  <property fmtid="{D5CDD505-2E9C-101B-9397-08002B2CF9AE}" pid="5" name="MSIP_Label_8a44a90e-04f7-4d21-b494-cfe49b26ce55_SetDate">
    <vt:lpwstr>2025-01-09T13:15:48Z</vt:lpwstr>
  </property>
  <property fmtid="{D5CDD505-2E9C-101B-9397-08002B2CF9AE}" pid="6" name="MSIP_Label_8a44a90e-04f7-4d21-b494-cfe49b26ce55_Method">
    <vt:lpwstr>Privileged</vt:lpwstr>
  </property>
  <property fmtid="{D5CDD505-2E9C-101B-9397-08002B2CF9AE}" pid="7" name="MSIP_Label_8a44a90e-04f7-4d21-b494-cfe49b26ce55_Name">
    <vt:lpwstr>Internal use without footer</vt:lpwstr>
  </property>
  <property fmtid="{D5CDD505-2E9C-101B-9397-08002B2CF9AE}" pid="8" name="MSIP_Label_8a44a90e-04f7-4d21-b494-cfe49b26ce55_SiteId">
    <vt:lpwstr>4c8a6547-459a-4b75-a3dc-f66efe3e9c4e</vt:lpwstr>
  </property>
  <property fmtid="{D5CDD505-2E9C-101B-9397-08002B2CF9AE}" pid="9" name="MSIP_Label_8a44a90e-04f7-4d21-b494-cfe49b26ce55_ActionId">
    <vt:lpwstr>694f94e7-9e53-45b4-a229-6b768ea8f934</vt:lpwstr>
  </property>
  <property fmtid="{D5CDD505-2E9C-101B-9397-08002B2CF9AE}" pid="10" name="MSIP_Label_8a44a90e-04f7-4d21-b494-cfe49b26ce55_ContentBits">
    <vt:lpwstr>0</vt:lpwstr>
  </property>
</Properties>
</file>